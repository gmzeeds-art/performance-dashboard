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codeName="ThisWorkbook"/>
  <mc:AlternateContent xmlns:mc="http://schemas.openxmlformats.org/markup-compatibility/2006">
    <mc:Choice Requires="x15">
      <x15ac:absPath xmlns:x15ac="http://schemas.microsoft.com/office/spreadsheetml/2010/11/ac" url="/Users/ranggarahmanda/dashboard-agent/rawdata/"/>
    </mc:Choice>
  </mc:AlternateContent>
  <xr:revisionPtr revIDLastSave="0" documentId="13_ncr:1_{6456BBD3-003B-0343-BCCB-029AF4A6BF9F}" xr6:coauthVersionLast="47" xr6:coauthVersionMax="47" xr10:uidLastSave="{00000000-0000-0000-0000-000000000000}"/>
  <bookViews>
    <workbookView xWindow="0" yWindow="760" windowWidth="38400" windowHeight="22540" xr2:uid="{00000000-000D-0000-FFFF-FFFF00000000}"/>
  </bookViews>
  <sheets>
    <sheet name="sheet1" sheetId="1" r:id="rId1"/>
  </sheets>
  <definedNames>
    <definedName name="_xlnm._FilterDatabase" localSheetId="0" hidden="1">sheet1!$A$1:$W$404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3" i="1" l="1"/>
  <c r="J73" i="1"/>
</calcChain>
</file>

<file path=xl/sharedStrings.xml><?xml version="1.0" encoding="utf-8"?>
<sst xmlns="http://schemas.openxmlformats.org/spreadsheetml/2006/main" count="6872" uniqueCount="3892">
  <si>
    <t>Nama</t>
  </si>
  <si>
    <t>Nama Pengguna</t>
  </si>
  <si>
    <t>Total Pesanan Hold</t>
  </si>
  <si>
    <t>Jumlah total data hari ini</t>
  </si>
  <si>
    <t>Jumlah tagihan</t>
  </si>
  <si>
    <t>Total Pokok Hold</t>
  </si>
  <si>
    <t>Total Penambahan Hari Ini</t>
  </si>
  <si>
    <t>Pokok Penambahan Penugasan Hari Ini</t>
  </si>
  <si>
    <t>Pokok Penerimaan</t>
  </si>
  <si>
    <t>Total Penerimaan Hari Ini</t>
  </si>
  <si>
    <t>Tingkat Penerimaan Hari Ini(Hold)</t>
  </si>
  <si>
    <t>Tingkat Penerimaan Hari Ini(Penambahan)</t>
  </si>
  <si>
    <t>Jumlah Panggilan</t>
  </si>
  <si>
    <t>Jumlah Panggilan Berhasil</t>
  </si>
  <si>
    <t>Total Durasi Panggilan</t>
  </si>
  <si>
    <t>Waktu Kerja Rata-rata</t>
  </si>
  <si>
    <t>Tingkat Keberhasilan Panggilan</t>
  </si>
  <si>
    <t>Tingkat Penutupan Panggilan</t>
  </si>
  <si>
    <t>Jumlah SMS</t>
  </si>
  <si>
    <t>Tingkat Penutupan SMS</t>
  </si>
  <si>
    <t>Jumlah Pengiriman Template WABA</t>
  </si>
  <si>
    <t>Total Klik Tombol WhatsApp</t>
  </si>
  <si>
    <t>Jumlah Klik Detail Pengguna</t>
  </si>
  <si>
    <t>DC10-R-022</t>
  </si>
  <si>
    <t>207,491,476</t>
  </si>
  <si>
    <t>139,500,000</t>
  </si>
  <si>
    <t>13,300,000</t>
  </si>
  <si>
    <t>25,649,800</t>
  </si>
  <si>
    <t>12.36%</t>
  </si>
  <si>
    <t>10.3</t>
  </si>
  <si>
    <t>0%</t>
  </si>
  <si>
    <t>94.12%</t>
  </si>
  <si>
    <t>0</t>
  </si>
  <si>
    <t>Wahyu Dwi Saputra</t>
  </si>
  <si>
    <t>Wahyu-Dwi-Saputra-D0</t>
  </si>
  <si>
    <t>81,230,863</t>
  </si>
  <si>
    <t>54,525,000</t>
  </si>
  <si>
    <t>20,000,000</t>
  </si>
  <si>
    <t>31,148,256</t>
  </si>
  <si>
    <t>38.35%</t>
  </si>
  <si>
    <t>19.07</t>
  </si>
  <si>
    <t>6.97%</t>
  </si>
  <si>
    <t>94.74%</t>
  </si>
  <si>
    <t>edwin sholeh kurniawan</t>
  </si>
  <si>
    <t>MPT05-S1-002</t>
  </si>
  <si>
    <t>329,858,246</t>
  </si>
  <si>
    <t>220,050,000</t>
  </si>
  <si>
    <t>42,796,370</t>
  </si>
  <si>
    <t>29,700,000</t>
  </si>
  <si>
    <t>1,954,529</t>
  </si>
  <si>
    <t>12,919,356</t>
  </si>
  <si>
    <t>3.92%</t>
  </si>
  <si>
    <t>30.19%</t>
  </si>
  <si>
    <t>9.97</t>
  </si>
  <si>
    <t>16.04%</t>
  </si>
  <si>
    <t>55.67%</t>
  </si>
  <si>
    <t>DC07-R-060</t>
  </si>
  <si>
    <t>200,379,243</t>
  </si>
  <si>
    <t>134,475,000</t>
  </si>
  <si>
    <t>106,419,464</t>
  </si>
  <si>
    <t>71,450,000</t>
  </si>
  <si>
    <t>30,350,000</t>
  </si>
  <si>
    <t>62,829,228</t>
  </si>
  <si>
    <t>31.36%</t>
  </si>
  <si>
    <t>59.04%</t>
  </si>
  <si>
    <t>12.55</t>
  </si>
  <si>
    <t>64.04%</t>
  </si>
  <si>
    <t>dc04-m2+009</t>
  </si>
  <si>
    <t>8,624,316,553</t>
  </si>
  <si>
    <t>4,553,775,000</t>
  </si>
  <si>
    <t>156,218,656</t>
  </si>
  <si>
    <t>85,500,000</t>
  </si>
  <si>
    <t>9</t>
  </si>
  <si>
    <t>DC07-S1-019</t>
  </si>
  <si>
    <t>277,231,262</t>
  </si>
  <si>
    <t>183,050,000</t>
  </si>
  <si>
    <t>64,425,146</t>
  </si>
  <si>
    <t>42,900,000</t>
  </si>
  <si>
    <t>4,200,000</t>
  </si>
  <si>
    <t>15,311,046</t>
  </si>
  <si>
    <t>5.52%</t>
  </si>
  <si>
    <t>23.77%</t>
  </si>
  <si>
    <t>20.73</t>
  </si>
  <si>
    <t>50.88%</t>
  </si>
  <si>
    <t>4</t>
  </si>
  <si>
    <t>dc04-s5-02</t>
  </si>
  <si>
    <t>9,667,532,699</t>
  </si>
  <si>
    <t>5,111,825,000</t>
  </si>
  <si>
    <t>233,171,991</t>
  </si>
  <si>
    <t>127,800,000</t>
  </si>
  <si>
    <t>7.22</t>
  </si>
  <si>
    <t>DC07-D0-028</t>
  </si>
  <si>
    <t>80,774,104</t>
  </si>
  <si>
    <t>54,200,000</t>
  </si>
  <si>
    <t>26,750,000</t>
  </si>
  <si>
    <t>40,878,492</t>
  </si>
  <si>
    <t>50.61%</t>
  </si>
  <si>
    <t>14.73</t>
  </si>
  <si>
    <t>97.37%</t>
  </si>
  <si>
    <t>IN-S1-002</t>
  </si>
  <si>
    <t>56,529,118</t>
  </si>
  <si>
    <t>45,110,000</t>
  </si>
  <si>
    <t>12,865,923</t>
  </si>
  <si>
    <t>10,720,000</t>
  </si>
  <si>
    <t>390,000</t>
  </si>
  <si>
    <t>3,386,406</t>
  </si>
  <si>
    <t>5.99%</t>
  </si>
  <si>
    <t>26.32%</t>
  </si>
  <si>
    <t>13.78</t>
  </si>
  <si>
    <t>2.03%</t>
  </si>
  <si>
    <t>45.75%</t>
  </si>
  <si>
    <t>58.82%</t>
  </si>
  <si>
    <t>DC07-S1-032</t>
  </si>
  <si>
    <t>342,812,899</t>
  </si>
  <si>
    <t>227,800,000</t>
  </si>
  <si>
    <t>68,114,914</t>
  </si>
  <si>
    <t>45,325,000</t>
  </si>
  <si>
    <t>2,800,000</t>
  </si>
  <si>
    <t>13,177,938</t>
  </si>
  <si>
    <t>3.84%</t>
  </si>
  <si>
    <t>19.35%</t>
  </si>
  <si>
    <t>16.05</t>
  </si>
  <si>
    <t>59.2%</t>
  </si>
  <si>
    <t>Rendi M. Sianturi</t>
  </si>
  <si>
    <t>Rendi-M.-Sianturi-S0</t>
  </si>
  <si>
    <t>88,224,414</t>
  </si>
  <si>
    <t>59,375,000</t>
  </si>
  <si>
    <t>15,750,000</t>
  </si>
  <si>
    <t>25,040,216</t>
  </si>
  <si>
    <t>28.38%</t>
  </si>
  <si>
    <t>18.9</t>
  </si>
  <si>
    <t>9.07%</t>
  </si>
  <si>
    <t>98%</t>
  </si>
  <si>
    <t>Dzaky Hanif</t>
  </si>
  <si>
    <t>Dzaky-Hanif-R</t>
  </si>
  <si>
    <t>106,769,020</t>
  </si>
  <si>
    <t>71,600,000</t>
  </si>
  <si>
    <t>70,465,914</t>
  </si>
  <si>
    <t>47,250,000</t>
  </si>
  <si>
    <t>9,100,000</t>
  </si>
  <si>
    <t>16,930,857</t>
  </si>
  <si>
    <t>15.86%</t>
  </si>
  <si>
    <t>24.03%</t>
  </si>
  <si>
    <t>9.18</t>
  </si>
  <si>
    <t>9.66%</t>
  </si>
  <si>
    <t>61.29%</t>
  </si>
  <si>
    <t>Muhammad Cep Hilman</t>
  </si>
  <si>
    <t>Cep-Hilman-D0</t>
  </si>
  <si>
    <t>87,284,770</t>
  </si>
  <si>
    <t>58,550,000</t>
  </si>
  <si>
    <t>14,250,000</t>
  </si>
  <si>
    <t>21,416,025</t>
  </si>
  <si>
    <t>24.54%</t>
  </si>
  <si>
    <t>22.35</t>
  </si>
  <si>
    <t>100%</t>
  </si>
  <si>
    <t>DC07-S1-054</t>
  </si>
  <si>
    <t>282,910,801</t>
  </si>
  <si>
    <t>187,100,000</t>
  </si>
  <si>
    <t>67,357,679</t>
  </si>
  <si>
    <t>44,850,000</t>
  </si>
  <si>
    <t>925,000</t>
  </si>
  <si>
    <t>1,388,624</t>
  </si>
  <si>
    <t>0.49%</t>
  </si>
  <si>
    <t>2.06%</t>
  </si>
  <si>
    <t>18.53</t>
  </si>
  <si>
    <t>54.1%</t>
  </si>
  <si>
    <t>dc01-s2-35</t>
  </si>
  <si>
    <t>2,748,673,754</t>
  </si>
  <si>
    <t>1,771,555,000</t>
  </si>
  <si>
    <t>184,783,919</t>
  </si>
  <si>
    <t>121,000,000</t>
  </si>
  <si>
    <t>93,729</t>
  </si>
  <si>
    <t>3,870,095</t>
  </si>
  <si>
    <t>0.14%</t>
  </si>
  <si>
    <t>2.09%</t>
  </si>
  <si>
    <t>13.77</t>
  </si>
  <si>
    <t>DC10-R-011</t>
  </si>
  <si>
    <t>425,592,709</t>
  </si>
  <si>
    <t>286,200,000</t>
  </si>
  <si>
    <t>89,900,000</t>
  </si>
  <si>
    <t>162,418,753</t>
  </si>
  <si>
    <t>38.16%</t>
  </si>
  <si>
    <t>12.88</t>
  </si>
  <si>
    <t>81.25%</t>
  </si>
  <si>
    <t>62</t>
  </si>
  <si>
    <t>dc01-m2-005</t>
  </si>
  <si>
    <t>3,503,634,674</t>
  </si>
  <si>
    <t>2,083,150,000</t>
  </si>
  <si>
    <t>179,634,090</t>
  </si>
  <si>
    <t>109,500,000</t>
  </si>
  <si>
    <t>1,564,062</t>
  </si>
  <si>
    <t>0.04%</t>
  </si>
  <si>
    <t>0.87%</t>
  </si>
  <si>
    <t>17</t>
  </si>
  <si>
    <t>dc04-s4-10</t>
  </si>
  <si>
    <t>8,865,890,877</t>
  </si>
  <si>
    <t>5,120,180,000</t>
  </si>
  <si>
    <t>238,367,611</t>
  </si>
  <si>
    <t>145,400,000</t>
  </si>
  <si>
    <t>581,370</t>
  </si>
  <si>
    <t>0.01%</t>
  </si>
  <si>
    <t>0.24%</t>
  </si>
  <si>
    <t>12.12</t>
  </si>
  <si>
    <t>Rendy Pratama</t>
  </si>
  <si>
    <t>Rendy-Pratama-S1</t>
  </si>
  <si>
    <t>409,148,720</t>
  </si>
  <si>
    <t>269,840,000</t>
  </si>
  <si>
    <t>79,769,338</t>
  </si>
  <si>
    <t>53,175,000</t>
  </si>
  <si>
    <t>7,447,163</t>
  </si>
  <si>
    <t>1.82%</t>
  </si>
  <si>
    <t>9.34%</t>
  </si>
  <si>
    <t>18.62</t>
  </si>
  <si>
    <t>3.51%</t>
  </si>
  <si>
    <t>30.81%</t>
  </si>
  <si>
    <t>27.96%</t>
  </si>
  <si>
    <t>DC07-S0-019</t>
  </si>
  <si>
    <t>71,969,121</t>
  </si>
  <si>
    <t>48,300,000</t>
  </si>
  <si>
    <t>14,400,000</t>
  </si>
  <si>
    <t>21,228,492</t>
  </si>
  <si>
    <t>29.5%</t>
  </si>
  <si>
    <t>21.37</t>
  </si>
  <si>
    <t>Muhammad Fajar Qodri</t>
  </si>
  <si>
    <t>Fajar-Qodri-S1</t>
  </si>
  <si>
    <t>301,886,931</t>
  </si>
  <si>
    <t>199,575,000</t>
  </si>
  <si>
    <t>76,989,027</t>
  </si>
  <si>
    <t>51,375,000</t>
  </si>
  <si>
    <t>1,000,000</t>
  </si>
  <si>
    <t>8,320,448</t>
  </si>
  <si>
    <t>2.76%</t>
  </si>
  <si>
    <t>10.81%</t>
  </si>
  <si>
    <t>17.85</t>
  </si>
  <si>
    <t>58.76%</t>
  </si>
  <si>
    <t>58.25%</t>
  </si>
  <si>
    <t>Reza Dwi Aprilian</t>
  </si>
  <si>
    <t>MPT05-D0-1001</t>
  </si>
  <si>
    <t>82,563,309</t>
  </si>
  <si>
    <t>55,650,000</t>
  </si>
  <si>
    <t>8,900,000</t>
  </si>
  <si>
    <t>13,565,641</t>
  </si>
  <si>
    <t>16.43%</t>
  </si>
  <si>
    <t>22.88</t>
  </si>
  <si>
    <t>14.03%</t>
  </si>
  <si>
    <t>91.89%</t>
  </si>
  <si>
    <t>dc04-s5-04</t>
  </si>
  <si>
    <t>9,474,752,514</t>
  </si>
  <si>
    <t>5,036,550,000</t>
  </si>
  <si>
    <t>201,668,015</t>
  </si>
  <si>
    <t>110,975,000</t>
  </si>
  <si>
    <t>231,156</t>
  </si>
  <si>
    <t>4.58</t>
  </si>
  <si>
    <t>MPT05-D0-022</t>
  </si>
  <si>
    <t>94,060,815</t>
  </si>
  <si>
    <t>63,300,000</t>
  </si>
  <si>
    <t>20,300,000</t>
  </si>
  <si>
    <t>31,538,840</t>
  </si>
  <si>
    <t>33.53%</t>
  </si>
  <si>
    <t>22.87</t>
  </si>
  <si>
    <t>89.8%</t>
  </si>
  <si>
    <t>93.88%</t>
  </si>
  <si>
    <t>dc04-s5-01</t>
  </si>
  <si>
    <t>9,773,113,382</t>
  </si>
  <si>
    <t>5,161,825,000</t>
  </si>
  <si>
    <t>204,617,325</t>
  </si>
  <si>
    <t>112,100,000</t>
  </si>
  <si>
    <t>10.43</t>
  </si>
  <si>
    <t>DC07-R-053</t>
  </si>
  <si>
    <t>233,521,424</t>
  </si>
  <si>
    <t>156,900,000</t>
  </si>
  <si>
    <t>132,880,254</t>
  </si>
  <si>
    <t>89,125,000</t>
  </si>
  <si>
    <t>22,150,000</t>
  </si>
  <si>
    <t>43,426,047</t>
  </si>
  <si>
    <t>18.6%</t>
  </si>
  <si>
    <t>32.68%</t>
  </si>
  <si>
    <t>19.18</t>
  </si>
  <si>
    <t>71.79%</t>
  </si>
  <si>
    <t>64</t>
  </si>
  <si>
    <t>Nadia Nani Lestari</t>
  </si>
  <si>
    <t>Nadia-H-1</t>
  </si>
  <si>
    <t>242,070,601</t>
  </si>
  <si>
    <t>162,825,000</t>
  </si>
  <si>
    <t>165,514,246</t>
  </si>
  <si>
    <t>111,300,000</t>
  </si>
  <si>
    <t>14,725,000</t>
  </si>
  <si>
    <t>29,361,814</t>
  </si>
  <si>
    <t>12.13%</t>
  </si>
  <si>
    <t>17.74%</t>
  </si>
  <si>
    <t>27.97</t>
  </si>
  <si>
    <t>1.93%</t>
  </si>
  <si>
    <t>68.22%</t>
  </si>
  <si>
    <t>Lenny Nuraida</t>
  </si>
  <si>
    <t>Lenny-Nuraida-D-3</t>
  </si>
  <si>
    <t>695,360,939</t>
  </si>
  <si>
    <t>467,100,000</t>
  </si>
  <si>
    <t>30,600,000</t>
  </si>
  <si>
    <t>44,667,852</t>
  </si>
  <si>
    <t>6.42%</t>
  </si>
  <si>
    <t>14.6</t>
  </si>
  <si>
    <t>1.47%</t>
  </si>
  <si>
    <t>99.41%</t>
  </si>
  <si>
    <t>Rofiul Pahri</t>
  </si>
  <si>
    <t>Rofiul-Pahri-D0</t>
  </si>
  <si>
    <t>95,496,777</t>
  </si>
  <si>
    <t>64,100,000</t>
  </si>
  <si>
    <t>18,050,000</t>
  </si>
  <si>
    <t>27,100,086</t>
  </si>
  <si>
    <t>18.43</t>
  </si>
  <si>
    <t>97.73%</t>
  </si>
  <si>
    <t>Ayu Nirmalasari</t>
  </si>
  <si>
    <t>Ayu Nirmalasari-D0</t>
  </si>
  <si>
    <t>49,255,977</t>
  </si>
  <si>
    <t>33,075,000</t>
  </si>
  <si>
    <t>15,825,000</t>
  </si>
  <si>
    <t>23,658,967</t>
  </si>
  <si>
    <t>48.03%</t>
  </si>
  <si>
    <t>10.1</t>
  </si>
  <si>
    <t>35.71%</t>
  </si>
  <si>
    <t>RESTI ASMI</t>
  </si>
  <si>
    <t>dc06-s4-001</t>
  </si>
  <si>
    <t>7,951,819,734</t>
  </si>
  <si>
    <t>4,581,935,000</t>
  </si>
  <si>
    <t>269,649,971</t>
  </si>
  <si>
    <t>164,450,000</t>
  </si>
  <si>
    <t>6,215,063</t>
  </si>
  <si>
    <t>0.08%</t>
  </si>
  <si>
    <t>2.3%</t>
  </si>
  <si>
    <t>9.23</t>
  </si>
  <si>
    <t>DC07-S0-022</t>
  </si>
  <si>
    <t>60,052,192</t>
  </si>
  <si>
    <t>40,250,000</t>
  </si>
  <si>
    <t>9,325,000</t>
  </si>
  <si>
    <t>16,650,544</t>
  </si>
  <si>
    <t>27.73%</t>
  </si>
  <si>
    <t>19.05</t>
  </si>
  <si>
    <t>DC07-S0-023</t>
  </si>
  <si>
    <t>71,322,943</t>
  </si>
  <si>
    <t>47,850,000</t>
  </si>
  <si>
    <t>23,160,625</t>
  </si>
  <si>
    <t>32.47%</t>
  </si>
  <si>
    <t>16.87</t>
  </si>
  <si>
    <t>95%</t>
  </si>
  <si>
    <t>Imam Fauroni</t>
  </si>
  <si>
    <t>Imam-Fauroni-D0</t>
  </si>
  <si>
    <t>82,187,798</t>
  </si>
  <si>
    <t>55,200,000</t>
  </si>
  <si>
    <t>10,425,000</t>
  </si>
  <si>
    <t>16,107,687</t>
  </si>
  <si>
    <t>19.6%</t>
  </si>
  <si>
    <t>22.53</t>
  </si>
  <si>
    <t>40.43%</t>
  </si>
  <si>
    <t>DC07-R-0036</t>
  </si>
  <si>
    <t>329,150,337</t>
  </si>
  <si>
    <t>221,075,000</t>
  </si>
  <si>
    <t>183,048,953</t>
  </si>
  <si>
    <t>123,000,000</t>
  </si>
  <si>
    <t>14,650,000</t>
  </si>
  <si>
    <t>47,813,446</t>
  </si>
  <si>
    <t>14.53%</t>
  </si>
  <si>
    <t>26.12%</t>
  </si>
  <si>
    <t>75.52%</t>
  </si>
  <si>
    <t>Abdus Salam</t>
  </si>
  <si>
    <t>Abdus-Salam-S1</t>
  </si>
  <si>
    <t>346,141,761</t>
  </si>
  <si>
    <t>229,795,000</t>
  </si>
  <si>
    <t>79,562,844</t>
  </si>
  <si>
    <t>53,020,000</t>
  </si>
  <si>
    <t>9,900,000</t>
  </si>
  <si>
    <t>18,895,576</t>
  </si>
  <si>
    <t>5.46%</t>
  </si>
  <si>
    <t>23.75%</t>
  </si>
  <si>
    <t>20.83</t>
  </si>
  <si>
    <t>1.52%</t>
  </si>
  <si>
    <t>33.5%</t>
  </si>
  <si>
    <t>58.38%</t>
  </si>
  <si>
    <t>DC07-R-0045</t>
  </si>
  <si>
    <t>259,255,254</t>
  </si>
  <si>
    <t>173,950,000</t>
  </si>
  <si>
    <t>153,100,476</t>
  </si>
  <si>
    <t>102,800,000</t>
  </si>
  <si>
    <t>21,000,000</t>
  </si>
  <si>
    <t>53,962,755</t>
  </si>
  <si>
    <t>20.81%</t>
  </si>
  <si>
    <t>35.25%</t>
  </si>
  <si>
    <t>17.28</t>
  </si>
  <si>
    <t>54.74%</t>
  </si>
  <si>
    <t>Afriandoko</t>
  </si>
  <si>
    <t>Afriandoko-R</t>
  </si>
  <si>
    <t>277,047,253</t>
  </si>
  <si>
    <t>185,900,000</t>
  </si>
  <si>
    <t>172,382,732</t>
  </si>
  <si>
    <t>115,650,000</t>
  </si>
  <si>
    <t>29,500,000</t>
  </si>
  <si>
    <t>66,393,769</t>
  </si>
  <si>
    <t>23.96%</t>
  </si>
  <si>
    <t>38.52%</t>
  </si>
  <si>
    <t>22.17</t>
  </si>
  <si>
    <t>1.69%</t>
  </si>
  <si>
    <t>72.03%</t>
  </si>
  <si>
    <t>77.62%</t>
  </si>
  <si>
    <t>DC06-M2-0007</t>
  </si>
  <si>
    <t>6,636,134,694</t>
  </si>
  <si>
    <t>3,870,725,000</t>
  </si>
  <si>
    <t>205,813,720</t>
  </si>
  <si>
    <t>125,450,000</t>
  </si>
  <si>
    <t>7.08</t>
  </si>
  <si>
    <t>SO-M3+-001</t>
  </si>
  <si>
    <t>636,332,235,143</t>
  </si>
  <si>
    <t>336,757,456,400</t>
  </si>
  <si>
    <t>50,839,972,991</t>
  </si>
  <si>
    <t>25,843,845,000</t>
  </si>
  <si>
    <t>7,841,186</t>
  </si>
  <si>
    <t>17,587,529</t>
  </si>
  <si>
    <t>0.03%</t>
  </si>
  <si>
    <t>2.7</t>
  </si>
  <si>
    <t>DC09-S1-002</t>
  </si>
  <si>
    <t>2,575,854,340</t>
  </si>
  <si>
    <t>1,705,870,000</t>
  </si>
  <si>
    <t>485,086,374</t>
  </si>
  <si>
    <t>325,070,000</t>
  </si>
  <si>
    <t>7,000,000</t>
  </si>
  <si>
    <t>24,342,294</t>
  </si>
  <si>
    <t>0.95%</t>
  </si>
  <si>
    <t>5.02%</t>
  </si>
  <si>
    <t>19.82</t>
  </si>
  <si>
    <t>0.23%</t>
  </si>
  <si>
    <t>57.32%</t>
  </si>
  <si>
    <t>DC07-R-0042</t>
  </si>
  <si>
    <t>113,261,763</t>
  </si>
  <si>
    <t>77,850,000</t>
  </si>
  <si>
    <t>60,611,769</t>
  </si>
  <si>
    <t>40,650,000</t>
  </si>
  <si>
    <t>11,250,000</t>
  </si>
  <si>
    <t>36,256,045</t>
  </si>
  <si>
    <t>32.01%</t>
  </si>
  <si>
    <t>59.82%</t>
  </si>
  <si>
    <t>6.57</t>
  </si>
  <si>
    <t>54.84%</t>
  </si>
  <si>
    <t>DC10-S1-009</t>
  </si>
  <si>
    <t>1,644,154,186</t>
  </si>
  <si>
    <t>1,094,240,000</t>
  </si>
  <si>
    <t>452,878,694</t>
  </si>
  <si>
    <t>303,500,000</t>
  </si>
  <si>
    <t>10,800,000</t>
  </si>
  <si>
    <t>29,633,145</t>
  </si>
  <si>
    <t>1.8%</t>
  </si>
  <si>
    <t>6.54%</t>
  </si>
  <si>
    <t>17.5</t>
  </si>
  <si>
    <t>63.38%</t>
  </si>
  <si>
    <t>Arlan Agus Priatna</t>
  </si>
  <si>
    <t>Arlan-Agus-Priatna-S2</t>
  </si>
  <si>
    <t>4,102,321,102</t>
  </si>
  <si>
    <t>2,634,155,000</t>
  </si>
  <si>
    <t>196,578,502</t>
  </si>
  <si>
    <t>127,950,000</t>
  </si>
  <si>
    <t>6,193,752</t>
  </si>
  <si>
    <t>0.15%</t>
  </si>
  <si>
    <t>3.15%</t>
  </si>
  <si>
    <t>11.1</t>
  </si>
  <si>
    <t>15.94%</t>
  </si>
  <si>
    <t>14.9%</t>
  </si>
  <si>
    <t>DC07-S1-047</t>
  </si>
  <si>
    <t>111,672,013</t>
  </si>
  <si>
    <t>73,425,000</t>
  </si>
  <si>
    <t>27,149,808</t>
  </si>
  <si>
    <t>18,025,000</t>
  </si>
  <si>
    <t>3,625,000</t>
  </si>
  <si>
    <t>5,448,090</t>
  </si>
  <si>
    <t>4.88%</t>
  </si>
  <si>
    <t>20.07%</t>
  </si>
  <si>
    <t>10.12</t>
  </si>
  <si>
    <t>30.91%</t>
  </si>
  <si>
    <t>8</t>
  </si>
  <si>
    <t>DC07-S1-010</t>
  </si>
  <si>
    <t>286,437,132</t>
  </si>
  <si>
    <t>188,775,000</t>
  </si>
  <si>
    <t>30,389,534</t>
  </si>
  <si>
    <t>20,200,000</t>
  </si>
  <si>
    <t>500,000</t>
  </si>
  <si>
    <t>12,756,055</t>
  </si>
  <si>
    <t>4.45%</t>
  </si>
  <si>
    <t>41.98%</t>
  </si>
  <si>
    <t>8.13</t>
  </si>
  <si>
    <t>8.24%</t>
  </si>
  <si>
    <t>DC07-D0-032</t>
  </si>
  <si>
    <t>80,421,406</t>
  </si>
  <si>
    <t>53,950,000</t>
  </si>
  <si>
    <t>9,150,000</t>
  </si>
  <si>
    <t>14,929,654</t>
  </si>
  <si>
    <t>18.56%</t>
  </si>
  <si>
    <t>11.78</t>
  </si>
  <si>
    <t>97.3%</t>
  </si>
  <si>
    <t>Mitra tafonao</t>
  </si>
  <si>
    <t>MPT05-S1-W4009</t>
  </si>
  <si>
    <t>406,060,155</t>
  </si>
  <si>
    <t>272,050,000</t>
  </si>
  <si>
    <t>101,245,196</t>
  </si>
  <si>
    <t>67,400,000</t>
  </si>
  <si>
    <t>5,504,652</t>
  </si>
  <si>
    <t>1.36%</t>
  </si>
  <si>
    <t>5.44%</t>
  </si>
  <si>
    <t>11.45</t>
  </si>
  <si>
    <t>6.72%</t>
  </si>
  <si>
    <t>61.48%</t>
  </si>
  <si>
    <t>MPT05-S1-3005</t>
  </si>
  <si>
    <t>233,367,933</t>
  </si>
  <si>
    <t>154,575,000</t>
  </si>
  <si>
    <t>78,438,433</t>
  </si>
  <si>
    <t>52,450,000</t>
  </si>
  <si>
    <t>9,400,000</t>
  </si>
  <si>
    <t>16,604,103</t>
  </si>
  <si>
    <t>7.11%</t>
  </si>
  <si>
    <t>21.17%</t>
  </si>
  <si>
    <t>16.32</t>
  </si>
  <si>
    <t>23.93%</t>
  </si>
  <si>
    <t>64.96%</t>
  </si>
  <si>
    <t>Thessa Rajagukguk</t>
  </si>
  <si>
    <t>MPT05-S1-W4003</t>
  </si>
  <si>
    <t>156,324,880</t>
  </si>
  <si>
    <t>103,900,000</t>
  </si>
  <si>
    <t>30,955,944</t>
  </si>
  <si>
    <t>20,475,000</t>
  </si>
  <si>
    <t>4,126,014</t>
  </si>
  <si>
    <t>2.64%</t>
  </si>
  <si>
    <t>13.33%</t>
  </si>
  <si>
    <t>10.92</t>
  </si>
  <si>
    <t>9.95%</t>
  </si>
  <si>
    <t>57.55%</t>
  </si>
  <si>
    <t>38.68%</t>
  </si>
  <si>
    <t>DC04-M2-0002</t>
  </si>
  <si>
    <t>6,933,120,460</t>
  </si>
  <si>
    <t>4,044,200,000</t>
  </si>
  <si>
    <t>279,331,812</t>
  </si>
  <si>
    <t>170,350,000</t>
  </si>
  <si>
    <t>1,504,662</t>
  </si>
  <si>
    <t>0.02%</t>
  </si>
  <si>
    <t>0.54%</t>
  </si>
  <si>
    <t>4.93</t>
  </si>
  <si>
    <t>DC07-S1-029</t>
  </si>
  <si>
    <t>270,010,065</t>
  </si>
  <si>
    <t>178,450,000</t>
  </si>
  <si>
    <t>75,367,253</t>
  </si>
  <si>
    <t>50,150,000</t>
  </si>
  <si>
    <t>2,700,000</t>
  </si>
  <si>
    <t>6,106,847</t>
  </si>
  <si>
    <t>2.26%</t>
  </si>
  <si>
    <t>8.1%</t>
  </si>
  <si>
    <t>19.15</t>
  </si>
  <si>
    <t>49.61%</t>
  </si>
  <si>
    <t>Nurohmah</t>
  </si>
  <si>
    <t>Nurohmah-R</t>
  </si>
  <si>
    <t>195,494,887</t>
  </si>
  <si>
    <t>131,125,000</t>
  </si>
  <si>
    <t>139,326,395</t>
  </si>
  <si>
    <t>93,450,000</t>
  </si>
  <si>
    <t>12,150,000</t>
  </si>
  <si>
    <t>23,173,409</t>
  </si>
  <si>
    <t>11.85%</t>
  </si>
  <si>
    <t>16.63%</t>
  </si>
  <si>
    <t>19.48</t>
  </si>
  <si>
    <t>1.01%</t>
  </si>
  <si>
    <t>66.41%</t>
  </si>
  <si>
    <t>69.53%</t>
  </si>
  <si>
    <t>dc01-S1-6</t>
  </si>
  <si>
    <t>428,171,938</t>
  </si>
  <si>
    <t>283,500,000</t>
  </si>
  <si>
    <t>77,470,967</t>
  </si>
  <si>
    <t>51,475,000</t>
  </si>
  <si>
    <t>8,150,000</t>
  </si>
  <si>
    <t>14,062,851</t>
  </si>
  <si>
    <t>3.28%</t>
  </si>
  <si>
    <t>18.15%</t>
  </si>
  <si>
    <t>13.7</t>
  </si>
  <si>
    <t>56.82%</t>
  </si>
  <si>
    <t>12</t>
  </si>
  <si>
    <t>DC07-R-0013</t>
  </si>
  <si>
    <t>287,994,159</t>
  </si>
  <si>
    <t>193,300,000</t>
  </si>
  <si>
    <t>159,971,120</t>
  </si>
  <si>
    <t>107,325,000</t>
  </si>
  <si>
    <t>32,600,000</t>
  </si>
  <si>
    <t>63,409,696</t>
  </si>
  <si>
    <t>22.02%</t>
  </si>
  <si>
    <t>39.64%</t>
  </si>
  <si>
    <t>21.3</t>
  </si>
  <si>
    <t>76.87%</t>
  </si>
  <si>
    <t>DWI FEBRIYANTI</t>
  </si>
  <si>
    <t>DC06-S2-014</t>
  </si>
  <si>
    <t>4,085,900,560</t>
  </si>
  <si>
    <t>2,597,930,000</t>
  </si>
  <si>
    <t>179,607,749</t>
  </si>
  <si>
    <t>117,550,000</t>
  </si>
  <si>
    <t>115,425</t>
  </si>
  <si>
    <t>1,550,773</t>
  </si>
  <si>
    <t>0.86%</t>
  </si>
  <si>
    <t>18.15</t>
  </si>
  <si>
    <t>dc01-s2-34</t>
  </si>
  <si>
    <t>2,521,221,891</t>
  </si>
  <si>
    <t>1,626,950,000</t>
  </si>
  <si>
    <t>147,111,528</t>
  </si>
  <si>
    <t>96,275,000</t>
  </si>
  <si>
    <t>1,275,000</t>
  </si>
  <si>
    <t>7,562,205</t>
  </si>
  <si>
    <t>0.3%</t>
  </si>
  <si>
    <t>5.14%</t>
  </si>
  <si>
    <t>16.7</t>
  </si>
  <si>
    <t>Herra Oktavianita</t>
  </si>
  <si>
    <t>Herra-Oktavianita-R</t>
  </si>
  <si>
    <t>239,047,068</t>
  </si>
  <si>
    <t>160,425,000</t>
  </si>
  <si>
    <t>176,386,397</t>
  </si>
  <si>
    <t>118,375,000</t>
  </si>
  <si>
    <t>24,400,000</t>
  </si>
  <si>
    <t>48,176,773</t>
  </si>
  <si>
    <t>20.15%</t>
  </si>
  <si>
    <t>27.31%</t>
  </si>
  <si>
    <t>17.58</t>
  </si>
  <si>
    <t>4.96%</t>
  </si>
  <si>
    <t>72.22%</t>
  </si>
  <si>
    <t>74.07%</t>
  </si>
  <si>
    <t>AMIN ANSHORI</t>
  </si>
  <si>
    <t>DC06-S2-010</t>
  </si>
  <si>
    <t>4,159,415,860</t>
  </si>
  <si>
    <t>2,671,475,000</t>
  </si>
  <si>
    <t>221,720,820</t>
  </si>
  <si>
    <t>151,250,000</t>
  </si>
  <si>
    <t>3,709,380</t>
  </si>
  <si>
    <t>2,173,401</t>
  </si>
  <si>
    <t>0.05%</t>
  </si>
  <si>
    <t>0.98%</t>
  </si>
  <si>
    <t>10.47</t>
  </si>
  <si>
    <t>Maria Margareta Manalu</t>
  </si>
  <si>
    <t>MPT05-S1-W4007</t>
  </si>
  <si>
    <t>280,144,537</t>
  </si>
  <si>
    <t>194,500,000</t>
  </si>
  <si>
    <t>74,232,484</t>
  </si>
  <si>
    <t>49,450,000</t>
  </si>
  <si>
    <t>1,350,000</t>
  </si>
  <si>
    <t>7,514,287</t>
  </si>
  <si>
    <t>2.68%</t>
  </si>
  <si>
    <t>10.12%</t>
  </si>
  <si>
    <t>17.43</t>
  </si>
  <si>
    <t>1.09%</t>
  </si>
  <si>
    <t>59.12%</t>
  </si>
  <si>
    <t>34.31%</t>
  </si>
  <si>
    <t>Yuyun Kurnia Fiyanti</t>
  </si>
  <si>
    <t>Yuyun-Kurnia-D0</t>
  </si>
  <si>
    <t>34,063,894</t>
  </si>
  <si>
    <t>22,850,000</t>
  </si>
  <si>
    <t>7,250,000</t>
  </si>
  <si>
    <t>10,782,403</t>
  </si>
  <si>
    <t>31.65%</t>
  </si>
  <si>
    <t>10.48</t>
  </si>
  <si>
    <t>1.97%</t>
  </si>
  <si>
    <t>DC13-R-003</t>
  </si>
  <si>
    <t>1,558,421,142</t>
  </si>
  <si>
    <t>1,049,300,000</t>
  </si>
  <si>
    <t>862,117,984</t>
  </si>
  <si>
    <t>580,175,000</t>
  </si>
  <si>
    <t>204,300,000</t>
  </si>
  <si>
    <t>466,062,757</t>
  </si>
  <si>
    <t>29.91%</t>
  </si>
  <si>
    <t>54.06%</t>
  </si>
  <si>
    <t>19.32</t>
  </si>
  <si>
    <t>75.86%</t>
  </si>
  <si>
    <t>Agustin Wahyu Purwoningsih</t>
  </si>
  <si>
    <t>MPT05-S1-W4014</t>
  </si>
  <si>
    <t>142,821,211</t>
  </si>
  <si>
    <t>94,600,000</t>
  </si>
  <si>
    <t>74,414,703</t>
  </si>
  <si>
    <t>49,300,000</t>
  </si>
  <si>
    <t>4,350,000</t>
  </si>
  <si>
    <t>15,243,572</t>
  </si>
  <si>
    <t>10.67%</t>
  </si>
  <si>
    <t>20.48%</t>
  </si>
  <si>
    <t>21.45</t>
  </si>
  <si>
    <t>3.85%</t>
  </si>
  <si>
    <t>65.38%</t>
  </si>
  <si>
    <t>Riri H</t>
  </si>
  <si>
    <t>Riri-Hendrayani-D0</t>
  </si>
  <si>
    <t>43,691,855</t>
  </si>
  <si>
    <t>29,450,000</t>
  </si>
  <si>
    <t>5,150,000</t>
  </si>
  <si>
    <t>9,342,574</t>
  </si>
  <si>
    <t>21.38%</t>
  </si>
  <si>
    <t>5.07</t>
  </si>
  <si>
    <t>96.3%</t>
  </si>
  <si>
    <t>Willy Tangkilisan</t>
  </si>
  <si>
    <t>Willy-Tangkilisan-S2</t>
  </si>
  <si>
    <t>4,030,197,913</t>
  </si>
  <si>
    <t>2,592,770,000</t>
  </si>
  <si>
    <t>139,041,514</t>
  </si>
  <si>
    <t>90,525,000</t>
  </si>
  <si>
    <t>3,434,868</t>
  </si>
  <si>
    <t>0.09%</t>
  </si>
  <si>
    <t>2.47%</t>
  </si>
  <si>
    <t>17.78</t>
  </si>
  <si>
    <t>15.64%</t>
  </si>
  <si>
    <t>16.75%</t>
  </si>
  <si>
    <t>DC09-R-007</t>
  </si>
  <si>
    <t>1,416,358,878</t>
  </si>
  <si>
    <t>975,200,000</t>
  </si>
  <si>
    <t>889,431,597</t>
  </si>
  <si>
    <t>598,850,000</t>
  </si>
  <si>
    <t>190,650,000</t>
  </si>
  <si>
    <t>454,240,084</t>
  </si>
  <si>
    <t>32.07%</t>
  </si>
  <si>
    <t>51.07%</t>
  </si>
  <si>
    <t>21.6</t>
  </si>
  <si>
    <t>8.97%</t>
  </si>
  <si>
    <t>72.73%</t>
  </si>
  <si>
    <t>73.48%</t>
  </si>
  <si>
    <t>Putri Natasya Nurjanah</t>
  </si>
  <si>
    <t>Putri-Natasya-Nurjanah-S2</t>
  </si>
  <si>
    <t>4,054,626,598</t>
  </si>
  <si>
    <t>2,612,500,000</t>
  </si>
  <si>
    <t>256,087,524</t>
  </si>
  <si>
    <t>166,700,000</t>
  </si>
  <si>
    <t>900,000</t>
  </si>
  <si>
    <t>9,778,667</t>
  </si>
  <si>
    <t>3.82%</t>
  </si>
  <si>
    <t>13.52</t>
  </si>
  <si>
    <t>4.4%</t>
  </si>
  <si>
    <t>19.62%</t>
  </si>
  <si>
    <t>DC07-R-0023</t>
  </si>
  <si>
    <t>132,407,377</t>
  </si>
  <si>
    <t>89,000,000</t>
  </si>
  <si>
    <t>85,683,576</t>
  </si>
  <si>
    <t>57,625,000</t>
  </si>
  <si>
    <t>7,425,000</t>
  </si>
  <si>
    <t>18,991,137</t>
  </si>
  <si>
    <t>14.34%</t>
  </si>
  <si>
    <t>22.16%</t>
  </si>
  <si>
    <t>9.12</t>
  </si>
  <si>
    <t>59.21%</t>
  </si>
  <si>
    <t>DC07-S1-043</t>
  </si>
  <si>
    <t>342,965,202</t>
  </si>
  <si>
    <t>226,925,000</t>
  </si>
  <si>
    <t>69,648,427</t>
  </si>
  <si>
    <t>46,475,000</t>
  </si>
  <si>
    <t>1,800,000</t>
  </si>
  <si>
    <t>2,726,949</t>
  </si>
  <si>
    <t>0.8%</t>
  </si>
  <si>
    <t>20.45</t>
  </si>
  <si>
    <t>18.88%</t>
  </si>
  <si>
    <t>DC07-R-067</t>
  </si>
  <si>
    <t>254,943,804</t>
  </si>
  <si>
    <t>171,050,000</t>
  </si>
  <si>
    <t>148,841,950</t>
  </si>
  <si>
    <t>99,850,000</t>
  </si>
  <si>
    <t>19,025,000</t>
  </si>
  <si>
    <t>44,957,691</t>
  </si>
  <si>
    <t>17.63%</t>
  </si>
  <si>
    <t>30.2%</t>
  </si>
  <si>
    <t>16.83</t>
  </si>
  <si>
    <t>35.4%</t>
  </si>
  <si>
    <t>dc04-m2+007</t>
  </si>
  <si>
    <t>9,027,394,422</t>
  </si>
  <si>
    <t>4,776,800,000</t>
  </si>
  <si>
    <t>173,670,578</t>
  </si>
  <si>
    <t>94,850,000</t>
  </si>
  <si>
    <t>11.92</t>
  </si>
  <si>
    <t>49,668,929</t>
  </si>
  <si>
    <t>33,350,000</t>
  </si>
  <si>
    <t>11,300,000</t>
  </si>
  <si>
    <t>34.62%</t>
  </si>
  <si>
    <t>11.43</t>
  </si>
  <si>
    <t>1.23%</t>
  </si>
  <si>
    <t>82.61%</t>
  </si>
  <si>
    <t>Reychan Gibrani Pujakesuma</t>
  </si>
  <si>
    <t>Reychan Gibrani Pujakesuma-S2</t>
  </si>
  <si>
    <t>4,236,869,675</t>
  </si>
  <si>
    <t>2,702,805,000</t>
  </si>
  <si>
    <t>229,394,476</t>
  </si>
  <si>
    <t>149,450,000</t>
  </si>
  <si>
    <t>1,389,975</t>
  </si>
  <si>
    <t>0.61%</t>
  </si>
  <si>
    <t>4.22</t>
  </si>
  <si>
    <t>4.79%</t>
  </si>
  <si>
    <t>7.89%</t>
  </si>
  <si>
    <t>MPT05-S1-3003</t>
  </si>
  <si>
    <t>342,789,193</t>
  </si>
  <si>
    <t>226,875,000</t>
  </si>
  <si>
    <t>73,702,410</t>
  </si>
  <si>
    <t>49,125,000</t>
  </si>
  <si>
    <t>5,400,000</t>
  </si>
  <si>
    <t>8,083,171</t>
  </si>
  <si>
    <t>2.36%</t>
  </si>
  <si>
    <t>10.97%</t>
  </si>
  <si>
    <t>20.77</t>
  </si>
  <si>
    <t>59.51%</t>
  </si>
  <si>
    <t>Bella Juniar</t>
  </si>
  <si>
    <t>Bella-Juniar-R</t>
  </si>
  <si>
    <t>207,429,393</t>
  </si>
  <si>
    <t>139,225,000</t>
  </si>
  <si>
    <t>85,128,325</t>
  </si>
  <si>
    <t>57,150,000</t>
  </si>
  <si>
    <t>18,900,000</t>
  </si>
  <si>
    <t>55,955,421</t>
  </si>
  <si>
    <t>26.98%</t>
  </si>
  <si>
    <t>65.73%</t>
  </si>
  <si>
    <t>4.37</t>
  </si>
  <si>
    <t>0.53%</t>
  </si>
  <si>
    <t>66.36%</t>
  </si>
  <si>
    <t>dc01-S1-5</t>
  </si>
  <si>
    <t>407,417,921</t>
  </si>
  <si>
    <t>269,825,000</t>
  </si>
  <si>
    <t>78,497,412</t>
  </si>
  <si>
    <t>52,350,000</t>
  </si>
  <si>
    <t>2,275,000</t>
  </si>
  <si>
    <t>18,537,971</t>
  </si>
  <si>
    <t>4.55%</t>
  </si>
  <si>
    <t>23.62%</t>
  </si>
  <si>
    <t>13.92</t>
  </si>
  <si>
    <t>57.59%</t>
  </si>
  <si>
    <t>Adinda Dwizzahra</t>
  </si>
  <si>
    <t>Adinda-Dwizzahra-R</t>
  </si>
  <si>
    <t>146,105,929</t>
  </si>
  <si>
    <t>99,050,000</t>
  </si>
  <si>
    <t>84,809,046</t>
  </si>
  <si>
    <t>57,000,000</t>
  </si>
  <si>
    <t>16,706,986</t>
  </si>
  <si>
    <t>11.43%</t>
  </si>
  <si>
    <t>19.7%</t>
  </si>
  <si>
    <t>11.38</t>
  </si>
  <si>
    <t>1.43%</t>
  </si>
  <si>
    <t>59.72%</t>
  </si>
  <si>
    <t>MPT05-D0-014</t>
  </si>
  <si>
    <t>117,418,270</t>
  </si>
  <si>
    <t>78,850,000</t>
  </si>
  <si>
    <t>25,850,000</t>
  </si>
  <si>
    <t>38,421,339</t>
  </si>
  <si>
    <t>32.72%</t>
  </si>
  <si>
    <t>19.9</t>
  </si>
  <si>
    <t>95.83%</t>
  </si>
  <si>
    <t>dc04-m2-002</t>
  </si>
  <si>
    <t>8,698,177,987</t>
  </si>
  <si>
    <t>5,008,975,000</t>
  </si>
  <si>
    <t>202,527,711</t>
  </si>
  <si>
    <t>123,500,000</t>
  </si>
  <si>
    <t>10,411,819</t>
  </si>
  <si>
    <t>0.12%</t>
  </si>
  <si>
    <t>7.32</t>
  </si>
  <si>
    <t>DC07-D0 NL-004</t>
  </si>
  <si>
    <t>83,368,319</t>
  </si>
  <si>
    <t>55,950,000</t>
  </si>
  <si>
    <t>27,150,000</t>
  </si>
  <si>
    <t>40,597,871</t>
  </si>
  <si>
    <t>48.7%</t>
  </si>
  <si>
    <t>20.9</t>
  </si>
  <si>
    <t>92%</t>
  </si>
  <si>
    <t>Ilham Arizal</t>
  </si>
  <si>
    <t>Ilham Arizal-D0</t>
  </si>
  <si>
    <t>47,583,832</t>
  </si>
  <si>
    <t>31,950,000</t>
  </si>
  <si>
    <t>8,100,000</t>
  </si>
  <si>
    <t>10,318,221</t>
  </si>
  <si>
    <t>21.68%</t>
  </si>
  <si>
    <t>9.65</t>
  </si>
  <si>
    <t>14.85%</t>
  </si>
  <si>
    <t>MPT05-D0-021</t>
  </si>
  <si>
    <t>38,056,998</t>
  </si>
  <si>
    <t>25,500,000</t>
  </si>
  <si>
    <t>5,450,000</t>
  </si>
  <si>
    <t>8,510,432</t>
  </si>
  <si>
    <t>22.36%</t>
  </si>
  <si>
    <t>12.43</t>
  </si>
  <si>
    <t>0.59%</t>
  </si>
  <si>
    <t>96%</t>
  </si>
  <si>
    <t>dc04-m2+006</t>
  </si>
  <si>
    <t>9,203,067,769</t>
  </si>
  <si>
    <t>4,876,200,000</t>
  </si>
  <si>
    <t>202,680,930</t>
  </si>
  <si>
    <t>112,200,000</t>
  </si>
  <si>
    <t>1,083,236</t>
  </si>
  <si>
    <t>6.5</t>
  </si>
  <si>
    <t>DC10-S1-008</t>
  </si>
  <si>
    <t>2,078,070,867</t>
  </si>
  <si>
    <t>1,376,380,000</t>
  </si>
  <si>
    <t>448,487,497</t>
  </si>
  <si>
    <t>300,200,000</t>
  </si>
  <si>
    <t>16.27</t>
  </si>
  <si>
    <t>57.56%</t>
  </si>
  <si>
    <t>Wendi Yulianto</t>
  </si>
  <si>
    <t>Wendi-Yulianto-D0</t>
  </si>
  <si>
    <t>87,786,380</t>
  </si>
  <si>
    <t>58,950,000</t>
  </si>
  <si>
    <t>30,450,000</t>
  </si>
  <si>
    <t>49,094,897</t>
  </si>
  <si>
    <t>55.93%</t>
  </si>
  <si>
    <t>19.23</t>
  </si>
  <si>
    <t>0.45%</t>
  </si>
  <si>
    <t>Irma Wandasari</t>
  </si>
  <si>
    <t>Irma-Wandasari-R</t>
  </si>
  <si>
    <t>109,893,695</t>
  </si>
  <si>
    <t>73,800,000</t>
  </si>
  <si>
    <t>47,926,978</t>
  </si>
  <si>
    <t>32,125,000</t>
  </si>
  <si>
    <t>9,475,000</t>
  </si>
  <si>
    <t>34,796,996</t>
  </si>
  <si>
    <t>31.66%</t>
  </si>
  <si>
    <t>72.6%</t>
  </si>
  <si>
    <t>10.57</t>
  </si>
  <si>
    <t>14.42%</t>
  </si>
  <si>
    <t>66.67%</t>
  </si>
  <si>
    <t>DC11-M3-001</t>
  </si>
  <si>
    <t>10,120,707,661</t>
  </si>
  <si>
    <t>5,354,650,000</t>
  </si>
  <si>
    <t>252,379,663</t>
  </si>
  <si>
    <t>138,600,000</t>
  </si>
  <si>
    <t>-</t>
  </si>
  <si>
    <t>DC07-R-076</t>
  </si>
  <si>
    <t>262,271,108</t>
  </si>
  <si>
    <t>176,000,000</t>
  </si>
  <si>
    <t>142,819,155</t>
  </si>
  <si>
    <t>95,825,000</t>
  </si>
  <si>
    <t>11,700,000</t>
  </si>
  <si>
    <t>53,811,857</t>
  </si>
  <si>
    <t>20.52%</t>
  </si>
  <si>
    <t>37.68%</t>
  </si>
  <si>
    <t>18.87</t>
  </si>
  <si>
    <t>73.21%</t>
  </si>
  <si>
    <t>STEFANUS SALIH</t>
  </si>
  <si>
    <t>DC06-S2-002</t>
  </si>
  <si>
    <t>3,621,144,903</t>
  </si>
  <si>
    <t>2,326,730,000</t>
  </si>
  <si>
    <t>145,863,554</t>
  </si>
  <si>
    <t>96,525,000</t>
  </si>
  <si>
    <t>1,149,770</t>
  </si>
  <si>
    <t>8,138,513</t>
  </si>
  <si>
    <t>0.22%</t>
  </si>
  <si>
    <t>5.58%</t>
  </si>
  <si>
    <t>14.02</t>
  </si>
  <si>
    <t>Yayah Sri Wahyu</t>
  </si>
  <si>
    <t>DC07-R-006</t>
  </si>
  <si>
    <t>341,671,112</t>
  </si>
  <si>
    <t>230,025,000</t>
  </si>
  <si>
    <t>189,557,405</t>
  </si>
  <si>
    <t>127,650,000</t>
  </si>
  <si>
    <t>23,875,000</t>
  </si>
  <si>
    <t>92,428,373</t>
  </si>
  <si>
    <t>27.05%</t>
  </si>
  <si>
    <t>48.76%</t>
  </si>
  <si>
    <t>75.76%</t>
  </si>
  <si>
    <t>dc01-S1-7</t>
  </si>
  <si>
    <t>344,216,611</t>
  </si>
  <si>
    <t>78,759,589</t>
  </si>
  <si>
    <t>52,725,000</t>
  </si>
  <si>
    <t>9,912,659</t>
  </si>
  <si>
    <t>2.88%</t>
  </si>
  <si>
    <t>12.59%</t>
  </si>
  <si>
    <t>19.42</t>
  </si>
  <si>
    <t>60.48%</t>
  </si>
  <si>
    <t>44</t>
  </si>
  <si>
    <t>IN-D0-003</t>
  </si>
  <si>
    <t>17,706,209</t>
  </si>
  <si>
    <t>14,450,000</t>
  </si>
  <si>
    <t>5,230,000</t>
  </si>
  <si>
    <t>6,706,484</t>
  </si>
  <si>
    <t>37.88%</t>
  </si>
  <si>
    <t>20.7</t>
  </si>
  <si>
    <t>23.82%</t>
  </si>
  <si>
    <t>96.15%</t>
  </si>
  <si>
    <t>98.08%</t>
  </si>
  <si>
    <t>Fahrul Aldilan</t>
  </si>
  <si>
    <t>Fahrul-Aldilan-S1</t>
  </si>
  <si>
    <t>330,876,383</t>
  </si>
  <si>
    <t>219,050,000</t>
  </si>
  <si>
    <t>76,710,200</t>
  </si>
  <si>
    <t>51,100,000</t>
  </si>
  <si>
    <t>5,694,817</t>
  </si>
  <si>
    <t>1.72%</t>
  </si>
  <si>
    <t>7.42%</t>
  </si>
  <si>
    <t>14.38</t>
  </si>
  <si>
    <t>6.9%</t>
  </si>
  <si>
    <t>55.22%</t>
  </si>
  <si>
    <t>Aziz Saputra</t>
  </si>
  <si>
    <t>Aziz-Saputra-R</t>
  </si>
  <si>
    <t>302,187,080</t>
  </si>
  <si>
    <t>203,825,000</t>
  </si>
  <si>
    <t>175,505,877</t>
  </si>
  <si>
    <t>117,975,000</t>
  </si>
  <si>
    <t>51,514,765</t>
  </si>
  <si>
    <t>17.05%</t>
  </si>
  <si>
    <t>29.35%</t>
  </si>
  <si>
    <t>19.37</t>
  </si>
  <si>
    <t>5.03%</t>
  </si>
  <si>
    <t>76.47%</t>
  </si>
  <si>
    <t>Ageung Nini Maharani</t>
  </si>
  <si>
    <t>Ageung-Maharani-D0</t>
  </si>
  <si>
    <t>74,920,927</t>
  </si>
  <si>
    <t>50,275,000</t>
  </si>
  <si>
    <t>11,900,000</t>
  </si>
  <si>
    <t>21,074,988</t>
  </si>
  <si>
    <t>28.13%</t>
  </si>
  <si>
    <t>20.37</t>
  </si>
  <si>
    <t>6.58%</t>
  </si>
  <si>
    <t>95.65%</t>
  </si>
  <si>
    <t>97.83%</t>
  </si>
  <si>
    <t>Nifa Fauziah</t>
  </si>
  <si>
    <t>Nifa-Fauziah-S1</t>
  </si>
  <si>
    <t>247,324,458</t>
  </si>
  <si>
    <t>168,425,000</t>
  </si>
  <si>
    <t>45,932,610</t>
  </si>
  <si>
    <t>30,500,000</t>
  </si>
  <si>
    <t>3,150,000</t>
  </si>
  <si>
    <t>6,572,141</t>
  </si>
  <si>
    <t>2.66%</t>
  </si>
  <si>
    <t>14.31%</t>
  </si>
  <si>
    <t>9.15</t>
  </si>
  <si>
    <t>0.43%</t>
  </si>
  <si>
    <t>32.41%</t>
  </si>
  <si>
    <t>55.17%</t>
  </si>
  <si>
    <t>WANDANI ARDILASARI</t>
  </si>
  <si>
    <t>DC06-D0-010</t>
  </si>
  <si>
    <t>100,636,233</t>
  </si>
  <si>
    <t>67,575,000</t>
  </si>
  <si>
    <t>3,350,000</t>
  </si>
  <si>
    <t>12,822,427</t>
  </si>
  <si>
    <t>12.74%</t>
  </si>
  <si>
    <t>17.4</t>
  </si>
  <si>
    <t>92.31%</t>
  </si>
  <si>
    <t>dc04-m2-001</t>
  </si>
  <si>
    <t>8,381,171,852</t>
  </si>
  <si>
    <t>4,827,430,000</t>
  </si>
  <si>
    <t>235,434,115</t>
  </si>
  <si>
    <t>143,635,000</t>
  </si>
  <si>
    <t>18.95</t>
  </si>
  <si>
    <t>DC07-S1-021</t>
  </si>
  <si>
    <t>292,413,575</t>
  </si>
  <si>
    <t>193,550,000</t>
  </si>
  <si>
    <t>75,906,160</t>
  </si>
  <si>
    <t>50,525,000</t>
  </si>
  <si>
    <t>5,900,000</t>
  </si>
  <si>
    <t>12,625,613</t>
  </si>
  <si>
    <t>4.32%</t>
  </si>
  <si>
    <t>16.12</t>
  </si>
  <si>
    <t>59.79%</t>
  </si>
  <si>
    <t>DC07-S1-052</t>
  </si>
  <si>
    <t>203,544,073</t>
  </si>
  <si>
    <t>134,700,000</t>
  </si>
  <si>
    <t>52,752,144</t>
  </si>
  <si>
    <t>35,050,000</t>
  </si>
  <si>
    <t>2,750,000</t>
  </si>
  <si>
    <t>9,679,126</t>
  </si>
  <si>
    <t>4.76%</t>
  </si>
  <si>
    <t>18.35%</t>
  </si>
  <si>
    <t>19.27</t>
  </si>
  <si>
    <t>52.71%</t>
  </si>
  <si>
    <t>Eva Saditri</t>
  </si>
  <si>
    <t>Eva-Saditri-D0</t>
  </si>
  <si>
    <t>45,268,934</t>
  </si>
  <si>
    <t>15,300,000</t>
  </si>
  <si>
    <t>22,784,143</t>
  </si>
  <si>
    <t>50.33%</t>
  </si>
  <si>
    <t>10.35</t>
  </si>
  <si>
    <t>2.28%</t>
  </si>
  <si>
    <t>92.86%</t>
  </si>
  <si>
    <t>Asrie Fhariska Ananda</t>
  </si>
  <si>
    <t>Asrie-Fhariska-R</t>
  </si>
  <si>
    <t>290,241,768</t>
  </si>
  <si>
    <t>194,875,000</t>
  </si>
  <si>
    <t>174,987,562</t>
  </si>
  <si>
    <t>19,150,000</t>
  </si>
  <si>
    <t>39,188,149</t>
  </si>
  <si>
    <t>13.5%</t>
  </si>
  <si>
    <t>22.39%</t>
  </si>
  <si>
    <t>21.02</t>
  </si>
  <si>
    <t>3.49%</t>
  </si>
  <si>
    <t>75.57%</t>
  </si>
  <si>
    <t>78.63%</t>
  </si>
  <si>
    <t>DC09-D0-002</t>
  </si>
  <si>
    <t>151,837,790</t>
  </si>
  <si>
    <t>102,600,000</t>
  </si>
  <si>
    <t>63,000,000</t>
  </si>
  <si>
    <t>91,952,859</t>
  </si>
  <si>
    <t>60.56%</t>
  </si>
  <si>
    <t>9.77</t>
  </si>
  <si>
    <t>0.44%</t>
  </si>
  <si>
    <t>ACHMAD SULTHON</t>
  </si>
  <si>
    <t>DC06-S1-002</t>
  </si>
  <si>
    <t>304,364,610</t>
  </si>
  <si>
    <t>208,400,000</t>
  </si>
  <si>
    <t>61,889,233</t>
  </si>
  <si>
    <t>41,200,000</t>
  </si>
  <si>
    <t>12,029,095</t>
  </si>
  <si>
    <t>3.95%</t>
  </si>
  <si>
    <t>19.44%</t>
  </si>
  <si>
    <t>18.33</t>
  </si>
  <si>
    <t>58.57%</t>
  </si>
  <si>
    <t>DC09-S1-006</t>
  </si>
  <si>
    <t>2,020,336,503</t>
  </si>
  <si>
    <t>1,336,700,000</t>
  </si>
  <si>
    <t>404,048,130</t>
  </si>
  <si>
    <t>270,000,000</t>
  </si>
  <si>
    <t>5,800,000</t>
  </si>
  <si>
    <t>12,171,694</t>
  </si>
  <si>
    <t>0.6%</t>
  </si>
  <si>
    <t>3.01%</t>
  </si>
  <si>
    <t>12.13</t>
  </si>
  <si>
    <t>12.25%</t>
  </si>
  <si>
    <t>57.84%</t>
  </si>
  <si>
    <t>dc04-m2+003</t>
  </si>
  <si>
    <t>9,359,918,894</t>
  </si>
  <si>
    <t>4,963,300,000</t>
  </si>
  <si>
    <t>201,223,693</t>
  </si>
  <si>
    <t>111,650,000</t>
  </si>
  <si>
    <t>1,135,992</t>
  </si>
  <si>
    <t>1.7</t>
  </si>
  <si>
    <t>DC07-S1-0027</t>
  </si>
  <si>
    <t>305,345,326</t>
  </si>
  <si>
    <t>204,025,000</t>
  </si>
  <si>
    <t>76,702,304</t>
  </si>
  <si>
    <t>51,125,000</t>
  </si>
  <si>
    <t>25,200,118</t>
  </si>
  <si>
    <t>8.25%</t>
  </si>
  <si>
    <t>32.85%</t>
  </si>
  <si>
    <t>17.6</t>
  </si>
  <si>
    <t>51.32%</t>
  </si>
  <si>
    <t>IN-R-002</t>
  </si>
  <si>
    <t>53,662,808</t>
  </si>
  <si>
    <t>43,970,000</t>
  </si>
  <si>
    <t>28,002,340</t>
  </si>
  <si>
    <t>22,960,000</t>
  </si>
  <si>
    <t>5,740,000</t>
  </si>
  <si>
    <t>14,756,540</t>
  </si>
  <si>
    <t>27.5%</t>
  </si>
  <si>
    <t>52.7%</t>
  </si>
  <si>
    <t>20.95</t>
  </si>
  <si>
    <t>7.95%</t>
  </si>
  <si>
    <t>75%</t>
  </si>
  <si>
    <t>75.68%</t>
  </si>
  <si>
    <t>Sherin Darmawan</t>
  </si>
  <si>
    <t>Sherin-Darmawan-R</t>
  </si>
  <si>
    <t>182,903,331</t>
  </si>
  <si>
    <t>122,825,000</t>
  </si>
  <si>
    <t>99,551,023</t>
  </si>
  <si>
    <t>66,850,000</t>
  </si>
  <si>
    <t>19,900,000</t>
  </si>
  <si>
    <t>35,475,149</t>
  </si>
  <si>
    <t>19.4%</t>
  </si>
  <si>
    <t>35.64%</t>
  </si>
  <si>
    <t>11.48</t>
  </si>
  <si>
    <t>13.01%</t>
  </si>
  <si>
    <t>52.11%</t>
  </si>
  <si>
    <t>94.37%</t>
  </si>
  <si>
    <t>Arif Hidayat Giawa</t>
  </si>
  <si>
    <t>314,605,239</t>
  </si>
  <si>
    <t>217,225,000</t>
  </si>
  <si>
    <t>75,582,314</t>
  </si>
  <si>
    <t>50,375,000</t>
  </si>
  <si>
    <t>100,000</t>
  </si>
  <si>
    <t>5,656,794</t>
  </si>
  <si>
    <t>7.48%</t>
  </si>
  <si>
    <t>20.13</t>
  </si>
  <si>
    <t>12.8%</t>
  </si>
  <si>
    <t>22.87%</t>
  </si>
  <si>
    <t>55.85%</t>
  </si>
  <si>
    <t>Diva Rilla</t>
  </si>
  <si>
    <t>Diva_Rilla-S1</t>
  </si>
  <si>
    <t>266,255,149</t>
  </si>
  <si>
    <t>176,600,000</t>
  </si>
  <si>
    <t>74,259,018</t>
  </si>
  <si>
    <t>49,500,000</t>
  </si>
  <si>
    <t>1,329,295</t>
  </si>
  <si>
    <t>0.5%</t>
  </si>
  <si>
    <t>1.79%</t>
  </si>
  <si>
    <t>17.17</t>
  </si>
  <si>
    <t>6.82%</t>
  </si>
  <si>
    <t>53.99%</t>
  </si>
  <si>
    <t>57.67%</t>
  </si>
  <si>
    <t>DC10-R-010</t>
  </si>
  <si>
    <t>1,411,984,430</t>
  </si>
  <si>
    <t>949,500,000</t>
  </si>
  <si>
    <t>863,108,813</t>
  </si>
  <si>
    <t>580,500,000</t>
  </si>
  <si>
    <t>201,900,000</t>
  </si>
  <si>
    <t>446,635,176</t>
  </si>
  <si>
    <t>31.63%</t>
  </si>
  <si>
    <t>51.75%</t>
  </si>
  <si>
    <t>24.35</t>
  </si>
  <si>
    <t>73.33%</t>
  </si>
  <si>
    <t>104</t>
  </si>
  <si>
    <t>Arya Tri Atmaja</t>
  </si>
  <si>
    <t>Arya-Tri-Atmaja-S1</t>
  </si>
  <si>
    <t>230,895,424</t>
  </si>
  <si>
    <t>161,550,000</t>
  </si>
  <si>
    <t>30,255,976</t>
  </si>
  <si>
    <t>8,823,639</t>
  </si>
  <si>
    <t>29.16%</t>
  </si>
  <si>
    <t>7.43</t>
  </si>
  <si>
    <t>5.8%</t>
  </si>
  <si>
    <t>19.67%</t>
  </si>
  <si>
    <t>47.54%</t>
  </si>
  <si>
    <t>Fio Bagus Anggono</t>
  </si>
  <si>
    <t>Fio-Bagus-R</t>
  </si>
  <si>
    <t>273,646,723</t>
  </si>
  <si>
    <t>183,700,000</t>
  </si>
  <si>
    <t>155,687,067</t>
  </si>
  <si>
    <t>104,550,000</t>
  </si>
  <si>
    <t>19,525,000</t>
  </si>
  <si>
    <t>60,072,896</t>
  </si>
  <si>
    <t>21.95%</t>
  </si>
  <si>
    <t>38.59%</t>
  </si>
  <si>
    <t>18.37</t>
  </si>
  <si>
    <t>7.72%</t>
  </si>
  <si>
    <t>71.85%</t>
  </si>
  <si>
    <t>72.59%</t>
  </si>
  <si>
    <t>DC11-M3-008</t>
  </si>
  <si>
    <t>8,230,689,186</t>
  </si>
  <si>
    <t>4,353,000,000</t>
  </si>
  <si>
    <t>222,165,608</t>
  </si>
  <si>
    <t>121,550,000</t>
  </si>
  <si>
    <t>DC11-M3-005</t>
  </si>
  <si>
    <t>8,829,436,831</t>
  </si>
  <si>
    <t>4,682,050,000</t>
  </si>
  <si>
    <t>186,520,073</t>
  </si>
  <si>
    <t>102,325,000</t>
  </si>
  <si>
    <t>dc04-s5-07</t>
  </si>
  <si>
    <t>9,567,099,148</t>
  </si>
  <si>
    <t>5,078,350,000</t>
  </si>
  <si>
    <t>202,313,061</t>
  </si>
  <si>
    <t>110,875,000</t>
  </si>
  <si>
    <t>170,998</t>
  </si>
  <si>
    <t>6.87</t>
  </si>
  <si>
    <t>SITI KHUSNUL KHOTIMAH</t>
  </si>
  <si>
    <t>DC06-S1-08</t>
  </si>
  <si>
    <t>382,339,495</t>
  </si>
  <si>
    <t>255,275,000</t>
  </si>
  <si>
    <t>84,635,383</t>
  </si>
  <si>
    <t>56,400,000</t>
  </si>
  <si>
    <t>1,825,000</t>
  </si>
  <si>
    <t>7,224,702</t>
  </si>
  <si>
    <t>1.89%</t>
  </si>
  <si>
    <t>8.54%</t>
  </si>
  <si>
    <t>19.28</t>
  </si>
  <si>
    <t>58.14%</t>
  </si>
  <si>
    <t>Inayah</t>
  </si>
  <si>
    <t>Inayah-R</t>
  </si>
  <si>
    <t>151,875,047</t>
  </si>
  <si>
    <t>101,925,000</t>
  </si>
  <si>
    <t>88,446,380</t>
  </si>
  <si>
    <t>59,350,000</t>
  </si>
  <si>
    <t>17,475,000</t>
  </si>
  <si>
    <t>32,466,113</t>
  </si>
  <si>
    <t>36.71%</t>
  </si>
  <si>
    <t>17.68</t>
  </si>
  <si>
    <t>4.12%</t>
  </si>
  <si>
    <t>60.76%</t>
  </si>
  <si>
    <t>92.41%</t>
  </si>
  <si>
    <t>Muhamad Ilyas</t>
  </si>
  <si>
    <t>Muhamad-Ilyas-D0</t>
  </si>
  <si>
    <t>69,084,814</t>
  </si>
  <si>
    <t>46,350,000</t>
  </si>
  <si>
    <t>11,100,000</t>
  </si>
  <si>
    <t>19,516,907</t>
  </si>
  <si>
    <t>28.25%</t>
  </si>
  <si>
    <t>22.27</t>
  </si>
  <si>
    <t>3.57%</t>
  </si>
  <si>
    <t>92.5%</t>
  </si>
  <si>
    <t>DC12-D0-04</t>
  </si>
  <si>
    <t>397,163,590</t>
  </si>
  <si>
    <t>267,300,000</t>
  </si>
  <si>
    <t>61,750,000</t>
  </si>
  <si>
    <t>119,413,215</t>
  </si>
  <si>
    <t>30.07%</t>
  </si>
  <si>
    <t>16.82</t>
  </si>
  <si>
    <t>dc04-m2+010</t>
  </si>
  <si>
    <t>9,133,858,276</t>
  </si>
  <si>
    <t>4,840,375,000</t>
  </si>
  <si>
    <t>187,838,795</t>
  </si>
  <si>
    <t>103,100,000</t>
  </si>
  <si>
    <t>523,794</t>
  </si>
  <si>
    <t>0.28%</t>
  </si>
  <si>
    <t>1</t>
  </si>
  <si>
    <t>Muhamad Ibnu Attar Faridh</t>
  </si>
  <si>
    <t>Ibnu-Attar-R</t>
  </si>
  <si>
    <t>226,021,193</t>
  </si>
  <si>
    <t>151,775,000</t>
  </si>
  <si>
    <t>90,152,924</t>
  </si>
  <si>
    <t>60,525,000</t>
  </si>
  <si>
    <t>15,800,000</t>
  </si>
  <si>
    <t>70,037,828</t>
  </si>
  <si>
    <t>30.99%</t>
  </si>
  <si>
    <t>77.69%</t>
  </si>
  <si>
    <t>10.45</t>
  </si>
  <si>
    <t>64.29%</t>
  </si>
  <si>
    <t>66.33%</t>
  </si>
  <si>
    <t>IN-S2-001</t>
  </si>
  <si>
    <t>704,633,689</t>
  </si>
  <si>
    <t>542,980,000</t>
  </si>
  <si>
    <t>39,005,448</t>
  </si>
  <si>
    <t>28,420,000</t>
  </si>
  <si>
    <t>170,000</t>
  </si>
  <si>
    <t>2,321,801</t>
  </si>
  <si>
    <t>0.33%</t>
  </si>
  <si>
    <t>5.95%</t>
  </si>
  <si>
    <t>7.1</t>
  </si>
  <si>
    <t>2.75%</t>
  </si>
  <si>
    <t>8.18%</t>
  </si>
  <si>
    <t>Nadira Pertiwi</t>
  </si>
  <si>
    <t>Nadira-Pertiwi-D0</t>
  </si>
  <si>
    <t>48,628,160</t>
  </si>
  <si>
    <t>32,625,000</t>
  </si>
  <si>
    <t>8,750,000</t>
  </si>
  <si>
    <t>12,935,071</t>
  </si>
  <si>
    <t>26.6%</t>
  </si>
  <si>
    <t>9.85</t>
  </si>
  <si>
    <t>8.29%</t>
  </si>
  <si>
    <t>DC07-S0-011</t>
  </si>
  <si>
    <t>47,912,210</t>
  </si>
  <si>
    <t>32,150,000</t>
  </si>
  <si>
    <t>9,500,000</t>
  </si>
  <si>
    <t>17,502,932</t>
  </si>
  <si>
    <t>36.53%</t>
  </si>
  <si>
    <t>8.78</t>
  </si>
  <si>
    <t>90.91%</t>
  </si>
  <si>
    <t>Anggi Pradana</t>
  </si>
  <si>
    <t>Anggi-Pradana-R</t>
  </si>
  <si>
    <t>168,595,499</t>
  </si>
  <si>
    <t>113,175,000</t>
  </si>
  <si>
    <t>71,304,998</t>
  </si>
  <si>
    <t>17,550,000</t>
  </si>
  <si>
    <t>44,482,694</t>
  </si>
  <si>
    <t>26.38%</t>
  </si>
  <si>
    <t>62.38%</t>
  </si>
  <si>
    <t>9.82</t>
  </si>
  <si>
    <t>72.38%</t>
  </si>
  <si>
    <t>dc01-s2-33</t>
  </si>
  <si>
    <t>2,444,137,110</t>
  </si>
  <si>
    <t>1,575,075,000</t>
  </si>
  <si>
    <t>147,745,636</t>
  </si>
  <si>
    <t>97,125,000</t>
  </si>
  <si>
    <t>550,529</t>
  </si>
  <si>
    <t>5,587,320</t>
  </si>
  <si>
    <t>3.78%</t>
  </si>
  <si>
    <t>8.35</t>
  </si>
  <si>
    <t>dc04-s5-10</t>
  </si>
  <si>
    <t>8,924,415,850</t>
  </si>
  <si>
    <t>4,732,800,000</t>
  </si>
  <si>
    <t>287,204,358</t>
  </si>
  <si>
    <t>158,550,000</t>
  </si>
  <si>
    <t>2.23</t>
  </si>
  <si>
    <t>DC11-M3-009</t>
  </si>
  <si>
    <t>9,404,154,922</t>
  </si>
  <si>
    <t>4,985,200,000</t>
  </si>
  <si>
    <t>256,394,049</t>
  </si>
  <si>
    <t>140,775,000</t>
  </si>
  <si>
    <t>7,613,235</t>
  </si>
  <si>
    <t>2.97%</t>
  </si>
  <si>
    <t>DC07-R NL-006</t>
  </si>
  <si>
    <t>263,315,801</t>
  </si>
  <si>
    <t>177,150,000</t>
  </si>
  <si>
    <t>160,884,886</t>
  </si>
  <si>
    <t>107,950,000</t>
  </si>
  <si>
    <t>36,650,000</t>
  </si>
  <si>
    <t>82,342,883</t>
  </si>
  <si>
    <t>31.27%</t>
  </si>
  <si>
    <t>51.18%</t>
  </si>
  <si>
    <t>19.67</t>
  </si>
  <si>
    <t>79.55%</t>
  </si>
  <si>
    <t>Charaka Nur Ilham Sugianto</t>
  </si>
  <si>
    <t>MPT05-S1-3009</t>
  </si>
  <si>
    <t>167,852,535</t>
  </si>
  <si>
    <t>113,975,000</t>
  </si>
  <si>
    <t>73,491,099</t>
  </si>
  <si>
    <t>49,475,000</t>
  </si>
  <si>
    <t>2,300,000</t>
  </si>
  <si>
    <t>10,383,039</t>
  </si>
  <si>
    <t>6.19%</t>
  </si>
  <si>
    <t>14.13%</t>
  </si>
  <si>
    <t>14.27</t>
  </si>
  <si>
    <t>17.39%</t>
  </si>
  <si>
    <t>41.57%</t>
  </si>
  <si>
    <t>62.92%</t>
  </si>
  <si>
    <t>dc01-s2-2</t>
  </si>
  <si>
    <t>3,797,568,567</t>
  </si>
  <si>
    <t>2,424,060,000</t>
  </si>
  <si>
    <t>209,853,303</t>
  </si>
  <si>
    <t>136,975,000</t>
  </si>
  <si>
    <t>9,094,310</t>
  </si>
  <si>
    <t>4.33%</t>
  </si>
  <si>
    <t>7.85</t>
  </si>
  <si>
    <t>DC07-S1-016</t>
  </si>
  <si>
    <t>372,643,077</t>
  </si>
  <si>
    <t>246,550,000</t>
  </si>
  <si>
    <t>93,942,898</t>
  </si>
  <si>
    <t>62,550,000</t>
  </si>
  <si>
    <t>4,700,000</t>
  </si>
  <si>
    <t>8,853,085</t>
  </si>
  <si>
    <t>2.38%</t>
  </si>
  <si>
    <t>9.42%</t>
  </si>
  <si>
    <t>15.93</t>
  </si>
  <si>
    <t>43.52%</t>
  </si>
  <si>
    <t>PUTRI SETIA WATI</t>
  </si>
  <si>
    <t>DC06-S2-011</t>
  </si>
  <si>
    <t>4,121,552,383</t>
  </si>
  <si>
    <t>2,624,100,000</t>
  </si>
  <si>
    <t>193,128,921</t>
  </si>
  <si>
    <t>125,700,000</t>
  </si>
  <si>
    <t>1,457,894</t>
  </si>
  <si>
    <t>0.75%</t>
  </si>
  <si>
    <t>18.55</t>
  </si>
  <si>
    <t>Irena Hasanuddin</t>
  </si>
  <si>
    <t>MPT05-S1-W4015</t>
  </si>
  <si>
    <t>237,432,949</t>
  </si>
  <si>
    <t>157,850,000</t>
  </si>
  <si>
    <t>94,578,781</t>
  </si>
  <si>
    <t>63,050,000</t>
  </si>
  <si>
    <t>3,950,000</t>
  </si>
  <si>
    <t>13,114,083</t>
  </si>
  <si>
    <t>13.87%</t>
  </si>
  <si>
    <t>24.58</t>
  </si>
  <si>
    <t>59.62%</t>
  </si>
  <si>
    <t>Bagus Setyawan</t>
  </si>
  <si>
    <t>Bagus-Setyawan-S2</t>
  </si>
  <si>
    <t>4,162,614,659</t>
  </si>
  <si>
    <t>2,665,265,000</t>
  </si>
  <si>
    <t>266,256,137</t>
  </si>
  <si>
    <t>173,350,000</t>
  </si>
  <si>
    <t>50,000</t>
  </si>
  <si>
    <t>15,671,927</t>
  </si>
  <si>
    <t>0.38%</t>
  </si>
  <si>
    <t>5.89%</t>
  </si>
  <si>
    <t>8.43</t>
  </si>
  <si>
    <t>21.8%</t>
  </si>
  <si>
    <t>Ede</t>
  </si>
  <si>
    <t>Ede-R</t>
  </si>
  <si>
    <t>257,865,587</t>
  </si>
  <si>
    <t>173,000,000</t>
  </si>
  <si>
    <t>142,410,169</t>
  </si>
  <si>
    <t>95,525,000</t>
  </si>
  <si>
    <t>26,575,000</t>
  </si>
  <si>
    <t>77,638,515</t>
  </si>
  <si>
    <t>30.11%</t>
  </si>
  <si>
    <t>54.52%</t>
  </si>
  <si>
    <t>23.4</t>
  </si>
  <si>
    <t>2.35%</t>
  </si>
  <si>
    <t>67.88%</t>
  </si>
  <si>
    <t>74.45%</t>
  </si>
  <si>
    <t>dc01-m2-002</t>
  </si>
  <si>
    <t>3,440,924,270</t>
  </si>
  <si>
    <t>2,057,390,000</t>
  </si>
  <si>
    <t>202,243,642</t>
  </si>
  <si>
    <t>123,325,000</t>
  </si>
  <si>
    <t>5,064,800</t>
  </si>
  <si>
    <t>2.5%</t>
  </si>
  <si>
    <t>15.18</t>
  </si>
  <si>
    <t>DC13-R-002</t>
  </si>
  <si>
    <t>1,529,000,867</t>
  </si>
  <si>
    <t>1,028,100,000</t>
  </si>
  <si>
    <t>904,663,433</t>
  </si>
  <si>
    <t>608,250,000</t>
  </si>
  <si>
    <t>185,100,000</t>
  </si>
  <si>
    <t>535,544,892</t>
  </si>
  <si>
    <t>35.03%</t>
  </si>
  <si>
    <t>16.78</t>
  </si>
  <si>
    <t>73.76%</t>
  </si>
  <si>
    <t>Sella Karina Sari</t>
  </si>
  <si>
    <t>Sella-Karina-Sari-S1</t>
  </si>
  <si>
    <t>228,653,866</t>
  </si>
  <si>
    <t>151,300,000</t>
  </si>
  <si>
    <t>30,275,138</t>
  </si>
  <si>
    <t>2,032,702</t>
  </si>
  <si>
    <t>0.89%</t>
  </si>
  <si>
    <t>6.71%</t>
  </si>
  <si>
    <t>10.77</t>
  </si>
  <si>
    <t>2.16%</t>
  </si>
  <si>
    <t>51.63%</t>
  </si>
  <si>
    <t>Rini Erisanih</t>
  </si>
  <si>
    <t>Rini-Erisanih-S1</t>
  </si>
  <si>
    <t>448,509,634</t>
  </si>
  <si>
    <t>297,800,000</t>
  </si>
  <si>
    <t>93,176,481</t>
  </si>
  <si>
    <t>61,900,000</t>
  </si>
  <si>
    <t>20,243,410</t>
  </si>
  <si>
    <t>4.51%</t>
  </si>
  <si>
    <t>21.73%</t>
  </si>
  <si>
    <t>17.62</t>
  </si>
  <si>
    <t>4.3%</t>
  </si>
  <si>
    <t>56.16%</t>
  </si>
  <si>
    <t>56.62%</t>
  </si>
  <si>
    <t>CHRISNA PUSPITA OKTARIANI</t>
  </si>
  <si>
    <t>DC06-S2-012</t>
  </si>
  <si>
    <t>4,336,839,723</t>
  </si>
  <si>
    <t>2,756,980,000</t>
  </si>
  <si>
    <t>148,680,189</t>
  </si>
  <si>
    <t>96,775,000</t>
  </si>
  <si>
    <t>16,305,607</t>
  </si>
  <si>
    <t>16</t>
  </si>
  <si>
    <t>Efri</t>
  </si>
  <si>
    <t>Efri-S1</t>
  </si>
  <si>
    <t>314,136,580</t>
  </si>
  <si>
    <t>208,175,000</t>
  </si>
  <si>
    <t>75,966,093</t>
  </si>
  <si>
    <t>50,700,000</t>
  </si>
  <si>
    <t>4,950,000</t>
  </si>
  <si>
    <t>15,281,361</t>
  </si>
  <si>
    <t>4.86%</t>
  </si>
  <si>
    <t>20.12%</t>
  </si>
  <si>
    <t>20.02</t>
  </si>
  <si>
    <t>2.86%</t>
  </si>
  <si>
    <t>60.2%</t>
  </si>
  <si>
    <t>Ahmad Padilah</t>
  </si>
  <si>
    <t>Ahmad-Padilah-S1</t>
  </si>
  <si>
    <t>235,256,575</t>
  </si>
  <si>
    <t>160,900,000</t>
  </si>
  <si>
    <t>32,026,489</t>
  </si>
  <si>
    <t>21,350,000</t>
  </si>
  <si>
    <t>21,787,449</t>
  </si>
  <si>
    <t>9.26%</t>
  </si>
  <si>
    <t>68.03%</t>
  </si>
  <si>
    <t>0.83%</t>
  </si>
  <si>
    <t>43.1%</t>
  </si>
  <si>
    <t>31.03%</t>
  </si>
  <si>
    <t>dc06-M2+004</t>
  </si>
  <si>
    <t>9,528,323,407</t>
  </si>
  <si>
    <t>5,049,950,000</t>
  </si>
  <si>
    <t>220,159,162</t>
  </si>
  <si>
    <t>120,825,000</t>
  </si>
  <si>
    <t>8,324,790</t>
  </si>
  <si>
    <t>DC10-S1-006</t>
  </si>
  <si>
    <t>1,585,653,231</t>
  </si>
  <si>
    <t>1,052,100,000</t>
  </si>
  <si>
    <t>227,494,770</t>
  </si>
  <si>
    <t>152,100,000</t>
  </si>
  <si>
    <t>14,750,000</t>
  </si>
  <si>
    <t>39,873,365</t>
  </si>
  <si>
    <t>2.51%</t>
  </si>
  <si>
    <t>17.53%</t>
  </si>
  <si>
    <t>19.62</t>
  </si>
  <si>
    <t>Lucia Hasianna</t>
  </si>
  <si>
    <t>MPT05-S1-W4013</t>
  </si>
  <si>
    <t>211,156,386</t>
  </si>
  <si>
    <t>140,350,000</t>
  </si>
  <si>
    <t>84,170,748</t>
  </si>
  <si>
    <t>56,075,000</t>
  </si>
  <si>
    <t>7,247,008</t>
  </si>
  <si>
    <t>3.43%</t>
  </si>
  <si>
    <t>8.61%</t>
  </si>
  <si>
    <t>25.08</t>
  </si>
  <si>
    <t>29.64%</t>
  </si>
  <si>
    <t>50.55%</t>
  </si>
  <si>
    <t>62.64%</t>
  </si>
  <si>
    <t>Rashiva Baihaki</t>
  </si>
  <si>
    <t>Rashiva-Baihaki-D0</t>
  </si>
  <si>
    <t>37,984,686</t>
  </si>
  <si>
    <t>25,475,000</t>
  </si>
  <si>
    <t>8,500,989</t>
  </si>
  <si>
    <t>22.38%</t>
  </si>
  <si>
    <t>10.02</t>
  </si>
  <si>
    <t>0.42%</t>
  </si>
  <si>
    <t>Wisam Nailin Naja</t>
  </si>
  <si>
    <t>Wisam-Nailin-Naja-D0</t>
  </si>
  <si>
    <t>76,238,879</t>
  </si>
  <si>
    <t>51,150,000</t>
  </si>
  <si>
    <t>12,400,000</t>
  </si>
  <si>
    <t>20,103,363</t>
  </si>
  <si>
    <t>26.37%</t>
  </si>
  <si>
    <t>18.72</t>
  </si>
  <si>
    <t>89.58%</t>
  </si>
  <si>
    <t>97.92%</t>
  </si>
  <si>
    <t>Nadia Oktafianie</t>
  </si>
  <si>
    <t>Nadia Oktafianie-R</t>
  </si>
  <si>
    <t>159,584,083</t>
  </si>
  <si>
    <t>106,975,000</t>
  </si>
  <si>
    <t>128,976,364</t>
  </si>
  <si>
    <t>86,475,000</t>
  </si>
  <si>
    <t>24,650,000</t>
  </si>
  <si>
    <t>39,496,025</t>
  </si>
  <si>
    <t>24.75%</t>
  </si>
  <si>
    <t>30.62%</t>
  </si>
  <si>
    <t>17.03</t>
  </si>
  <si>
    <t>78.48%</t>
  </si>
  <si>
    <t>Betsy Wulandari</t>
  </si>
  <si>
    <t>Betsy-Wulandari-R</t>
  </si>
  <si>
    <t>262,268,732</t>
  </si>
  <si>
    <t>176,975,000</t>
  </si>
  <si>
    <t>211,790,396</t>
  </si>
  <si>
    <t>142,950,000</t>
  </si>
  <si>
    <t>57,350,000</t>
  </si>
  <si>
    <t>98,453,676</t>
  </si>
  <si>
    <t>37.54%</t>
  </si>
  <si>
    <t>46.49%</t>
  </si>
  <si>
    <t>2.43%</t>
  </si>
  <si>
    <t>77.88%</t>
  </si>
  <si>
    <t>74.04%</t>
  </si>
  <si>
    <t>DC07-D0-030</t>
  </si>
  <si>
    <t>41,667,289</t>
  </si>
  <si>
    <t>27,925,000</t>
  </si>
  <si>
    <t>7,150,000</t>
  </si>
  <si>
    <t>11,034,902</t>
  </si>
  <si>
    <t>26.48%</t>
  </si>
  <si>
    <t>18.22</t>
  </si>
  <si>
    <t>DC07-R-0027</t>
  </si>
  <si>
    <t>278,622,408</t>
  </si>
  <si>
    <t>186,900,000</t>
  </si>
  <si>
    <t>155,201,974</t>
  </si>
  <si>
    <t>104,100,000</t>
  </si>
  <si>
    <t>16,750,000</t>
  </si>
  <si>
    <t>51,192,114</t>
  </si>
  <si>
    <t>18.37%</t>
  </si>
  <si>
    <t>32.98%</t>
  </si>
  <si>
    <t>22</t>
  </si>
  <si>
    <t>76.81%</t>
  </si>
  <si>
    <t>dc04-s4-04</t>
  </si>
  <si>
    <t>8,298,286,100</t>
  </si>
  <si>
    <t>4,791,295,000</t>
  </si>
  <si>
    <t>235,869,820</t>
  </si>
  <si>
    <t>146,050,000</t>
  </si>
  <si>
    <t>13,036,338</t>
  </si>
  <si>
    <t>0.16%</t>
  </si>
  <si>
    <t>5.53%</t>
  </si>
  <si>
    <t>2.53</t>
  </si>
  <si>
    <t>DC07-S1-044</t>
  </si>
  <si>
    <t>272,880,267</t>
  </si>
  <si>
    <t>181,650,000</t>
  </si>
  <si>
    <t>39,346,976</t>
  </si>
  <si>
    <t>26,125,000</t>
  </si>
  <si>
    <t>4,136,201</t>
  </si>
  <si>
    <t>10.51%</t>
  </si>
  <si>
    <t>8.32</t>
  </si>
  <si>
    <t>51.92%</t>
  </si>
  <si>
    <t>DC07-S0-020</t>
  </si>
  <si>
    <t>44,324,789</t>
  </si>
  <si>
    <t>29,750,000</t>
  </si>
  <si>
    <t>1,150,000</t>
  </si>
  <si>
    <t>3,465,001</t>
  </si>
  <si>
    <t>7.82%</t>
  </si>
  <si>
    <t>8.05</t>
  </si>
  <si>
    <t>IRENIUS DWI PUTRA HERIBER</t>
  </si>
  <si>
    <t>DC06-S2-003</t>
  </si>
  <si>
    <t>4,143,783,653</t>
  </si>
  <si>
    <t>2,638,945,000</t>
  </si>
  <si>
    <t>206,416,986</t>
  </si>
  <si>
    <t>134,350,000</t>
  </si>
  <si>
    <t>3,572,808</t>
  </si>
  <si>
    <t>1.73%</t>
  </si>
  <si>
    <t>11.2</t>
  </si>
  <si>
    <t>Abrar Irfan Akbar</t>
  </si>
  <si>
    <t>Abrar-Irfan-D0</t>
  </si>
  <si>
    <t>67,490,334</t>
  </si>
  <si>
    <t>45,275,000</t>
  </si>
  <si>
    <t>6,850,000</t>
  </si>
  <si>
    <t>11,023,686</t>
  </si>
  <si>
    <t>16.33%</t>
  </si>
  <si>
    <t>17.13</t>
  </si>
  <si>
    <t>94.87%</t>
  </si>
  <si>
    <t>DC11-M3-007</t>
  </si>
  <si>
    <t>9,763,313,044</t>
  </si>
  <si>
    <t>5,182,375,000</t>
  </si>
  <si>
    <t>205,968,892</t>
  </si>
  <si>
    <t>113,025,000</t>
  </si>
  <si>
    <t>846,289</t>
  </si>
  <si>
    <t>0.41%</t>
  </si>
  <si>
    <t>DC07-S0-013</t>
  </si>
  <si>
    <t>82,484,381</t>
  </si>
  <si>
    <t>55,325,000</t>
  </si>
  <si>
    <t>22,975,000</t>
  </si>
  <si>
    <t>35,132,701</t>
  </si>
  <si>
    <t>42.59%</t>
  </si>
  <si>
    <t>20.12</t>
  </si>
  <si>
    <t>Naufal Dwi Prastyo</t>
  </si>
  <si>
    <t>Naufal-Prastyo-S1</t>
  </si>
  <si>
    <t>343,493,866</t>
  </si>
  <si>
    <t>227,075,000</t>
  </si>
  <si>
    <t>83,352,945</t>
  </si>
  <si>
    <t>55,550,000</t>
  </si>
  <si>
    <t>11,800,000</t>
  </si>
  <si>
    <t>21,985,766</t>
  </si>
  <si>
    <t>6.4%</t>
  </si>
  <si>
    <t>13.12</t>
  </si>
  <si>
    <t>0.68%</t>
  </si>
  <si>
    <t>61.14%</t>
  </si>
  <si>
    <t>60.1%</t>
  </si>
  <si>
    <t>MPT05-D0 NL-001</t>
  </si>
  <si>
    <t>49,819,456</t>
  </si>
  <si>
    <t>33,425,000</t>
  </si>
  <si>
    <t>6,650,000</t>
  </si>
  <si>
    <t>12,107,954</t>
  </si>
  <si>
    <t>24.3%</t>
  </si>
  <si>
    <t>12.62</t>
  </si>
  <si>
    <t>6.8%</t>
  </si>
  <si>
    <t>100</t>
  </si>
  <si>
    <t>Rika S</t>
  </si>
  <si>
    <t>Rika-Sugianti-D0</t>
  </si>
  <si>
    <t>89,169,148</t>
  </si>
  <si>
    <t>59,825,000</t>
  </si>
  <si>
    <t>18,075,000</t>
  </si>
  <si>
    <t>27,872,475</t>
  </si>
  <si>
    <t>31.26%</t>
  </si>
  <si>
    <t>19.13</t>
  </si>
  <si>
    <t>96.08%</t>
  </si>
  <si>
    <t>98.04%</t>
  </si>
  <si>
    <t>BARIQLY KHARIZMA ZAHRAH</t>
  </si>
  <si>
    <t>DC06-D0-009</t>
  </si>
  <si>
    <t>113,696,485</t>
  </si>
  <si>
    <t>76,550,000</t>
  </si>
  <si>
    <t>28,250,000</t>
  </si>
  <si>
    <t>43,068,568</t>
  </si>
  <si>
    <t>14.7</t>
  </si>
  <si>
    <t>dc04-m2+008</t>
  </si>
  <si>
    <t>9,382,894,374</t>
  </si>
  <si>
    <t>4,970,300,000</t>
  </si>
  <si>
    <t>186,626,568</t>
  </si>
  <si>
    <t>102,200,000</t>
  </si>
  <si>
    <t>989,360</t>
  </si>
  <si>
    <t>3.88</t>
  </si>
  <si>
    <t>DC01-M3+-001</t>
  </si>
  <si>
    <t>58,283,725,527</t>
  </si>
  <si>
    <t>29,580,630,000</t>
  </si>
  <si>
    <t>11,346,735,922</t>
  </si>
  <si>
    <t>5,756,045,000</t>
  </si>
  <si>
    <t>5,060,360</t>
  </si>
  <si>
    <t>10,581,102</t>
  </si>
  <si>
    <t>2.47</t>
  </si>
  <si>
    <t>DC07-R-080</t>
  </si>
  <si>
    <t>64,721,205</t>
  </si>
  <si>
    <t>43,500,000</t>
  </si>
  <si>
    <t>13,950,000</t>
  </si>
  <si>
    <t>20,318,539</t>
  </si>
  <si>
    <t>31.39%</t>
  </si>
  <si>
    <t>10.72</t>
  </si>
  <si>
    <t>DC07-R-068</t>
  </si>
  <si>
    <t>252,516,099</t>
  </si>
  <si>
    <t>169,550,000</t>
  </si>
  <si>
    <t>109,843,720</t>
  </si>
  <si>
    <t>73,775,000</t>
  </si>
  <si>
    <t>13,100,000</t>
  </si>
  <si>
    <t>46,865,291</t>
  </si>
  <si>
    <t>42.67%</t>
  </si>
  <si>
    <t>5.48</t>
  </si>
  <si>
    <t>65.91%</t>
  </si>
  <si>
    <t>dc04-m2+01</t>
  </si>
  <si>
    <t>9,356,602,328</t>
  </si>
  <si>
    <t>4,948,875,000</t>
  </si>
  <si>
    <t>201,790,429</t>
  </si>
  <si>
    <t>110,800,000</t>
  </si>
  <si>
    <t>4.07</t>
  </si>
  <si>
    <t>DC07-R-0035</t>
  </si>
  <si>
    <t>345,019,006</t>
  </si>
  <si>
    <t>231,625,000</t>
  </si>
  <si>
    <t>189,281,302</t>
  </si>
  <si>
    <t>127,075,000</t>
  </si>
  <si>
    <t>13,500,000</t>
  </si>
  <si>
    <t>41,772,696</t>
  </si>
  <si>
    <t>12.11%</t>
  </si>
  <si>
    <t>22.07%</t>
  </si>
  <si>
    <t>18.75</t>
  </si>
  <si>
    <t>70.2%</t>
  </si>
  <si>
    <t>Desy Novianti</t>
  </si>
  <si>
    <t>Desy-Novianti-S1</t>
  </si>
  <si>
    <t>331,785,869</t>
  </si>
  <si>
    <t>255,600,000</t>
  </si>
  <si>
    <t>11,632,377</t>
  </si>
  <si>
    <t>7,200,000</t>
  </si>
  <si>
    <t>9,817,000</t>
  </si>
  <si>
    <t>2.96%</t>
  </si>
  <si>
    <t>84.39%</t>
  </si>
  <si>
    <t>2.22</t>
  </si>
  <si>
    <t>SANJI HASAN</t>
  </si>
  <si>
    <t>DC06-S2-009</t>
  </si>
  <si>
    <t>4,384,504,405</t>
  </si>
  <si>
    <t>2,785,150,000</t>
  </si>
  <si>
    <t>144,822,165</t>
  </si>
  <si>
    <t>94,325,000</t>
  </si>
  <si>
    <t>2,084,902</t>
  </si>
  <si>
    <t>1.44%</t>
  </si>
  <si>
    <t>Yoslois Jonathan Benhard</t>
  </si>
  <si>
    <t>Yoslois-Jonathan-Benhard-S2</t>
  </si>
  <si>
    <t>4,133,448,825</t>
  </si>
  <si>
    <t>2,670,825,000</t>
  </si>
  <si>
    <t>192,703,140</t>
  </si>
  <si>
    <t>20,376,829</t>
  </si>
  <si>
    <t>10.57%</t>
  </si>
  <si>
    <t>9.92</t>
  </si>
  <si>
    <t>5.79%</t>
  </si>
  <si>
    <t>26.17%</t>
  </si>
  <si>
    <t>Diah Putri Sari</t>
  </si>
  <si>
    <t>Diah-Putri-Sari-R</t>
  </si>
  <si>
    <t>188,686,416</t>
  </si>
  <si>
    <t>127,550,000</t>
  </si>
  <si>
    <t>76,614,587</t>
  </si>
  <si>
    <t>51,425,000</t>
  </si>
  <si>
    <t>9,450,000</t>
  </si>
  <si>
    <t>37,512,225</t>
  </si>
  <si>
    <t>19.88%</t>
  </si>
  <si>
    <t>48.96%</t>
  </si>
  <si>
    <t>11.8</t>
  </si>
  <si>
    <t>15.12%</t>
  </si>
  <si>
    <t>48.11%</t>
  </si>
  <si>
    <t>67.92%</t>
  </si>
  <si>
    <t>DC06-CR-M2-001</t>
  </si>
  <si>
    <t>640,818,542</t>
  </si>
  <si>
    <t>458,020,000</t>
  </si>
  <si>
    <t>24,626,891</t>
  </si>
  <si>
    <t>18,710,000</t>
  </si>
  <si>
    <t>433,484</t>
  </si>
  <si>
    <t>0.07%</t>
  </si>
  <si>
    <t>1.76%</t>
  </si>
  <si>
    <t>5.52</t>
  </si>
  <si>
    <t>Fauzan Amrulloh</t>
  </si>
  <si>
    <t>Fauzan-Amrulloh-R</t>
  </si>
  <si>
    <t>96,018,504</t>
  </si>
  <si>
    <t>64,325,000</t>
  </si>
  <si>
    <t>55,549,185</t>
  </si>
  <si>
    <t>37,200,000</t>
  </si>
  <si>
    <t>33,113,227</t>
  </si>
  <si>
    <t>34.49%</t>
  </si>
  <si>
    <t>59.61%</t>
  </si>
  <si>
    <t>3.33%</t>
  </si>
  <si>
    <t>65%</t>
  </si>
  <si>
    <t>DC07-S1-049</t>
  </si>
  <si>
    <t>258,797,672</t>
  </si>
  <si>
    <t>170,950,000</t>
  </si>
  <si>
    <t>30,413,628</t>
  </si>
  <si>
    <t>20,250,000</t>
  </si>
  <si>
    <t>11,845,471</t>
  </si>
  <si>
    <t>4.58%</t>
  </si>
  <si>
    <t>38.95%</t>
  </si>
  <si>
    <t>7.98</t>
  </si>
  <si>
    <t>37.25%</t>
  </si>
  <si>
    <t>Dewi Rafita Noparia</t>
  </si>
  <si>
    <t>Dewi-Noparia-R</t>
  </si>
  <si>
    <t>78,104,964</t>
  </si>
  <si>
    <t>52,400,000</t>
  </si>
  <si>
    <t>11,860,215</t>
  </si>
  <si>
    <t>15.18%</t>
  </si>
  <si>
    <t>9.25</t>
  </si>
  <si>
    <t>10%</t>
  </si>
  <si>
    <t>96.77%</t>
  </si>
  <si>
    <t>dc04-s5-11</t>
  </si>
  <si>
    <t>9,403,989,363</t>
  </si>
  <si>
    <t>4,979,175,000</t>
  </si>
  <si>
    <t>236,795,891</t>
  </si>
  <si>
    <t>130,050,000</t>
  </si>
  <si>
    <t>2.68</t>
  </si>
  <si>
    <t>DC07-R-0026</t>
  </si>
  <si>
    <t>130,223,883</t>
  </si>
  <si>
    <t>87,350,000</t>
  </si>
  <si>
    <t>78,481,677</t>
  </si>
  <si>
    <t>52,650,000</t>
  </si>
  <si>
    <t>15,332,915</t>
  </si>
  <si>
    <t>11.77%</t>
  </si>
  <si>
    <t>19.54%</t>
  </si>
  <si>
    <t>7.67</t>
  </si>
  <si>
    <t>56.72%</t>
  </si>
  <si>
    <t>MPT05-S1-064</t>
  </si>
  <si>
    <t>304,397,982</t>
  </si>
  <si>
    <t>201,225,000</t>
  </si>
  <si>
    <t>83,787,877</t>
  </si>
  <si>
    <t>55,750,000</t>
  </si>
  <si>
    <t>23,693,126</t>
  </si>
  <si>
    <t>7.78%</t>
  </si>
  <si>
    <t>28.28%</t>
  </si>
  <si>
    <t>60.51%</t>
  </si>
  <si>
    <t>56.41%</t>
  </si>
  <si>
    <t>Rosa Diana</t>
  </si>
  <si>
    <t>Rosa-Diana-R</t>
  </si>
  <si>
    <t>234,346,304</t>
  </si>
  <si>
    <t>157,250,000</t>
  </si>
  <si>
    <t>146,287,625</t>
  </si>
  <si>
    <t>98,250,000</t>
  </si>
  <si>
    <t>9,425,000</t>
  </si>
  <si>
    <t>27,001,357</t>
  </si>
  <si>
    <t>11.52%</t>
  </si>
  <si>
    <t>18.46%</t>
  </si>
  <si>
    <t>20.05</t>
  </si>
  <si>
    <t>5.86%</t>
  </si>
  <si>
    <t>55.07%</t>
  </si>
  <si>
    <t>72.46%</t>
  </si>
  <si>
    <t>INOSENSIUS BEBOK</t>
  </si>
  <si>
    <t>dc06-m2-002</t>
  </si>
  <si>
    <t>9,092,938,241</t>
  </si>
  <si>
    <t>5,269,660,000</t>
  </si>
  <si>
    <t>237,964,582</t>
  </si>
  <si>
    <t>146,000,000</t>
  </si>
  <si>
    <t>164,574</t>
  </si>
  <si>
    <t>976,369</t>
  </si>
  <si>
    <t>11.85</t>
  </si>
  <si>
    <t>DC07-S1-046</t>
  </si>
  <si>
    <t>258,414,545</t>
  </si>
  <si>
    <t>170,550,000</t>
  </si>
  <si>
    <t>37,164,141</t>
  </si>
  <si>
    <t>24,625,000</t>
  </si>
  <si>
    <t>3,000,000</t>
  </si>
  <si>
    <t>11,243,357</t>
  </si>
  <si>
    <t>4.35%</t>
  </si>
  <si>
    <t>30.25%</t>
  </si>
  <si>
    <t>58.1%</t>
  </si>
  <si>
    <t>DC07-S0-027</t>
  </si>
  <si>
    <t>34,559,442</t>
  </si>
  <si>
    <t>23,150,000</t>
  </si>
  <si>
    <t>6,750,000</t>
  </si>
  <si>
    <t>9,920,735</t>
  </si>
  <si>
    <t>28.71%</t>
  </si>
  <si>
    <t>DC07-R-063</t>
  </si>
  <si>
    <t>240,381,879</t>
  </si>
  <si>
    <t>162,100,000</t>
  </si>
  <si>
    <t>137,807,937</t>
  </si>
  <si>
    <t>92,425,000</t>
  </si>
  <si>
    <t>7,800,000</t>
  </si>
  <si>
    <t>35,500,756</t>
  </si>
  <si>
    <t>14.77%</t>
  </si>
  <si>
    <t>25.76%</t>
  </si>
  <si>
    <t>14.97</t>
  </si>
  <si>
    <t>dc06-m2-003</t>
  </si>
  <si>
    <t>8,389,438,914</t>
  </si>
  <si>
    <t>4,832,060,000</t>
  </si>
  <si>
    <t>271,945,121</t>
  </si>
  <si>
    <t>165,900,000</t>
  </si>
  <si>
    <t>11,180,670</t>
  </si>
  <si>
    <t>0.13%</t>
  </si>
  <si>
    <t>4.11%</t>
  </si>
  <si>
    <t>14.88</t>
  </si>
  <si>
    <t>Reza Adriyan</t>
  </si>
  <si>
    <t>Reza-Adriyan-S1</t>
  </si>
  <si>
    <t>365,445,570</t>
  </si>
  <si>
    <t>243,915,000</t>
  </si>
  <si>
    <t>74,501,680</t>
  </si>
  <si>
    <t>49,575,000</t>
  </si>
  <si>
    <t>3,397,588</t>
  </si>
  <si>
    <t>0.93%</t>
  </si>
  <si>
    <t>4.56%</t>
  </si>
  <si>
    <t>20.47</t>
  </si>
  <si>
    <t>5.87%</t>
  </si>
  <si>
    <t>32.63%</t>
  </si>
  <si>
    <t>51.58%</t>
  </si>
  <si>
    <t>DC07-S1-024</t>
  </si>
  <si>
    <t>290,934,695</t>
  </si>
  <si>
    <t>192,850,000</t>
  </si>
  <si>
    <t>82,299,361</t>
  </si>
  <si>
    <t>54,900,000</t>
  </si>
  <si>
    <t>1,100,000</t>
  </si>
  <si>
    <t>4,961,856</t>
  </si>
  <si>
    <t>1.71%</t>
  </si>
  <si>
    <t>6.03%</t>
  </si>
  <si>
    <t>17.53</t>
  </si>
  <si>
    <t>55%</t>
  </si>
  <si>
    <t>Abdul Fattah</t>
  </si>
  <si>
    <t>Abdul-Fattah-S1</t>
  </si>
  <si>
    <t>307,296,499</t>
  </si>
  <si>
    <t>202,675,000</t>
  </si>
  <si>
    <t>30,272,453</t>
  </si>
  <si>
    <t>20,175,000</t>
  </si>
  <si>
    <t>6,925,263</t>
  </si>
  <si>
    <t>2.25%</t>
  </si>
  <si>
    <t>22.88%</t>
  </si>
  <si>
    <t>12.27%</t>
  </si>
  <si>
    <t>18.82%</t>
  </si>
  <si>
    <t>50.59%</t>
  </si>
  <si>
    <t>DC10-D0-007</t>
  </si>
  <si>
    <t>406,951,121</t>
  </si>
  <si>
    <t>273,600,000</t>
  </si>
  <si>
    <t>84,800,000</t>
  </si>
  <si>
    <t>142,475,547</t>
  </si>
  <si>
    <t>35.01%</t>
  </si>
  <si>
    <t>18.77</t>
  </si>
  <si>
    <t>94.59%</t>
  </si>
  <si>
    <t>DC07-S0-018</t>
  </si>
  <si>
    <t>89,103,057</t>
  </si>
  <si>
    <t>59,900,000</t>
  </si>
  <si>
    <t>18,800,000</t>
  </si>
  <si>
    <t>28,073,708</t>
  </si>
  <si>
    <t>31.51%</t>
  </si>
  <si>
    <t>18.93</t>
  </si>
  <si>
    <t>Tessa Oktavia Anggreini</t>
  </si>
  <si>
    <t>Tessa-Oktavia-R</t>
  </si>
  <si>
    <t>259,618,497</t>
  </si>
  <si>
    <t>174,300,000</t>
  </si>
  <si>
    <t>159,075,420</t>
  </si>
  <si>
    <t>106,850,000</t>
  </si>
  <si>
    <t>24,350,000</t>
  </si>
  <si>
    <t>57,473,669</t>
  </si>
  <si>
    <t>22.14%</t>
  </si>
  <si>
    <t>36.13%</t>
  </si>
  <si>
    <t>22.32</t>
  </si>
  <si>
    <t>6.06%</t>
  </si>
  <si>
    <t>74.81%</t>
  </si>
  <si>
    <t>DC07-S0-025</t>
  </si>
  <si>
    <t>72,867,246</t>
  </si>
  <si>
    <t>48,900,000</t>
  </si>
  <si>
    <t>11,525,000</t>
  </si>
  <si>
    <t>19,509,568</t>
  </si>
  <si>
    <t>26.77%</t>
  </si>
  <si>
    <t>17.83</t>
  </si>
  <si>
    <t>DC10-D0-012</t>
  </si>
  <si>
    <t>202,166,530</t>
  </si>
  <si>
    <t>135,900,000</t>
  </si>
  <si>
    <t>22,000,000</t>
  </si>
  <si>
    <t>36,102,195</t>
  </si>
  <si>
    <t>17.86%</t>
  </si>
  <si>
    <t>11.12</t>
  </si>
  <si>
    <t>89.47%</t>
  </si>
  <si>
    <t>dc06-m2-004</t>
  </si>
  <si>
    <t>8,519,077,783</t>
  </si>
  <si>
    <t>4,914,500,000</t>
  </si>
  <si>
    <t>275,470,089</t>
  </si>
  <si>
    <t>168,575,000</t>
  </si>
  <si>
    <t>85,156</t>
  </si>
  <si>
    <t>5,238,422</t>
  </si>
  <si>
    <t>0.06%</t>
  </si>
  <si>
    <t>1.9%</t>
  </si>
  <si>
    <t>13.23</t>
  </si>
  <si>
    <t>dc01-s2-28</t>
  </si>
  <si>
    <t>3,927,931,224</t>
  </si>
  <si>
    <t>2,500,015,000</t>
  </si>
  <si>
    <t>224,449,291</t>
  </si>
  <si>
    <t>146,170,000</t>
  </si>
  <si>
    <t>7,882,258</t>
  </si>
  <si>
    <t>0.2%</t>
  </si>
  <si>
    <t>14.3</t>
  </si>
  <si>
    <t>DC07-R-073</t>
  </si>
  <si>
    <t>193,592,475</t>
  </si>
  <si>
    <t>129,850,000</t>
  </si>
  <si>
    <t>135,757,932</t>
  </si>
  <si>
    <t>91,050,000</t>
  </si>
  <si>
    <t>16,650,000</t>
  </si>
  <si>
    <t>33,874,334</t>
  </si>
  <si>
    <t>17.5%</t>
  </si>
  <si>
    <t>24.95%</t>
  </si>
  <si>
    <t>69.77%</t>
  </si>
  <si>
    <t>DC07-R-078</t>
  </si>
  <si>
    <t>178,391,237</t>
  </si>
  <si>
    <t>119,650,000</t>
  </si>
  <si>
    <t>104,842,830</t>
  </si>
  <si>
    <t>70,300,000</t>
  </si>
  <si>
    <t>19,000,000</t>
  </si>
  <si>
    <t>51,369,739</t>
  </si>
  <si>
    <t>28.8%</t>
  </si>
  <si>
    <t>49%</t>
  </si>
  <si>
    <t>77.67%</t>
  </si>
  <si>
    <t>Sovia fardila</t>
  </si>
  <si>
    <t>MPT05-S1-W4005</t>
  </si>
  <si>
    <t>280,639,495</t>
  </si>
  <si>
    <t>186,800,000</t>
  </si>
  <si>
    <t>75,736,236</t>
  </si>
  <si>
    <t>50,425,000</t>
  </si>
  <si>
    <t>8,712,339</t>
  </si>
  <si>
    <t>3.1%</t>
  </si>
  <si>
    <t>11.5%</t>
  </si>
  <si>
    <t>17.45</t>
  </si>
  <si>
    <t>4.25%</t>
  </si>
  <si>
    <t>61.59%</t>
  </si>
  <si>
    <t>Putri Oktavianita</t>
  </si>
  <si>
    <t>Putri-Oktavianita-D0</t>
  </si>
  <si>
    <t>51,216,319</t>
  </si>
  <si>
    <t>34,400,000</t>
  </si>
  <si>
    <t>16,700,000</t>
  </si>
  <si>
    <t>24,668,946</t>
  </si>
  <si>
    <t>48.17%</t>
  </si>
  <si>
    <t>8.98</t>
  </si>
  <si>
    <t>16.44%</t>
  </si>
  <si>
    <t>ABDUL RAMLI DAKA</t>
  </si>
  <si>
    <t>DC06-S2-007</t>
  </si>
  <si>
    <t>3,593,292,403</t>
  </si>
  <si>
    <t>2,285,480,000</t>
  </si>
  <si>
    <t>208,295,470</t>
  </si>
  <si>
    <t>135,625,000</t>
  </si>
  <si>
    <t>150,000</t>
  </si>
  <si>
    <t>6,722,456</t>
  </si>
  <si>
    <t>0.19%</t>
  </si>
  <si>
    <t>3.23%</t>
  </si>
  <si>
    <t>16.57</t>
  </si>
  <si>
    <t>MPT05-D0-027</t>
  </si>
  <si>
    <t>81,507,207</t>
  </si>
  <si>
    <t>54,675,000</t>
  </si>
  <si>
    <t>11,950,000</t>
  </si>
  <si>
    <t>18,594,511</t>
  </si>
  <si>
    <t>22.81%</t>
  </si>
  <si>
    <t>24.98</t>
  </si>
  <si>
    <t>IN-S1-003</t>
  </si>
  <si>
    <t>76,543,018</t>
  </si>
  <si>
    <t>57,970,000</t>
  </si>
  <si>
    <t>20,305,869</t>
  </si>
  <si>
    <t>15,450,000</t>
  </si>
  <si>
    <t>1,340,000</t>
  </si>
  <si>
    <t>3,789,471</t>
  </si>
  <si>
    <t>4.95%</t>
  </si>
  <si>
    <t>18.66%</t>
  </si>
  <si>
    <t>23.38</t>
  </si>
  <si>
    <t>6.78%</t>
  </si>
  <si>
    <t>60%</t>
  </si>
  <si>
    <t>60.71%</t>
  </si>
  <si>
    <t>dc04-s5-08</t>
  </si>
  <si>
    <t>9,059,914,393</t>
  </si>
  <si>
    <t>4,827,350,000</t>
  </si>
  <si>
    <t>157,044,081</t>
  </si>
  <si>
    <t>87,600,000</t>
  </si>
  <si>
    <t>8.88</t>
  </si>
  <si>
    <t>DC09-S1-004</t>
  </si>
  <si>
    <t>2,338,842,950</t>
  </si>
  <si>
    <t>1,549,800,000</t>
  </si>
  <si>
    <t>434,477,912</t>
  </si>
  <si>
    <t>290,700,000</t>
  </si>
  <si>
    <t>15,100,000</t>
  </si>
  <si>
    <t>95,016,610</t>
  </si>
  <si>
    <t>4.06%</t>
  </si>
  <si>
    <t>21.87%</t>
  </si>
  <si>
    <t>12.82</t>
  </si>
  <si>
    <t>0.88%</t>
  </si>
  <si>
    <t>53.88%</t>
  </si>
  <si>
    <t>55.25%</t>
  </si>
  <si>
    <t>Yeti Farida</t>
  </si>
  <si>
    <t>Yeti-Farida-D-3</t>
  </si>
  <si>
    <t>758,904,499</t>
  </si>
  <si>
    <t>510,300,000</t>
  </si>
  <si>
    <t>40,500,000</t>
  </si>
  <si>
    <t>59,472,224</t>
  </si>
  <si>
    <t>7.84%</t>
  </si>
  <si>
    <t>20.25</t>
  </si>
  <si>
    <t>98.82%</t>
  </si>
  <si>
    <t>Rachma Kusuma Wardini</t>
  </si>
  <si>
    <t>Rachma-Kusuma-S1</t>
  </si>
  <si>
    <t>304,305,688</t>
  </si>
  <si>
    <t>206,725,000</t>
  </si>
  <si>
    <t>75,718,534</t>
  </si>
  <si>
    <t>3,175,000</t>
  </si>
  <si>
    <t>9,979,169</t>
  </si>
  <si>
    <t>13.18%</t>
  </si>
  <si>
    <t>26.15</t>
  </si>
  <si>
    <t>2.6%</t>
  </si>
  <si>
    <t>44.02%</t>
  </si>
  <si>
    <t>58.15%</t>
  </si>
  <si>
    <t>DC07-R-0019</t>
  </si>
  <si>
    <t>261,247,114</t>
  </si>
  <si>
    <t>179,225,000</t>
  </si>
  <si>
    <t>157,987,939</t>
  </si>
  <si>
    <t>106,175,000</t>
  </si>
  <si>
    <t>50,200,945</t>
  </si>
  <si>
    <t>19.22%</t>
  </si>
  <si>
    <t>31.78%</t>
  </si>
  <si>
    <t>18.85</t>
  </si>
  <si>
    <t>72.41%</t>
  </si>
  <si>
    <t>Navitri Ayuni</t>
  </si>
  <si>
    <t>Navitri-Ayuni-D0</t>
  </si>
  <si>
    <t>119,876,307</t>
  </si>
  <si>
    <t>80,475,000</t>
  </si>
  <si>
    <t>14,050,000</t>
  </si>
  <si>
    <t>25,611,261</t>
  </si>
  <si>
    <t>21.36%</t>
  </si>
  <si>
    <t>21.87</t>
  </si>
  <si>
    <t>11.99%</t>
  </si>
  <si>
    <t>DC07-R-069</t>
  </si>
  <si>
    <t>151,312,049</t>
  </si>
  <si>
    <t>104,200,000</t>
  </si>
  <si>
    <t>61,893,755</t>
  </si>
  <si>
    <t>41,525,000</t>
  </si>
  <si>
    <t>7,350,000</t>
  </si>
  <si>
    <t>29,277,340</t>
  </si>
  <si>
    <t>47.3%</t>
  </si>
  <si>
    <t>13.45</t>
  </si>
  <si>
    <t>68.83%</t>
  </si>
  <si>
    <t>dc04-s5-12</t>
  </si>
  <si>
    <t>8,748,691,497</t>
  </si>
  <si>
    <t>4,631,925,000</t>
  </si>
  <si>
    <t>158,147,605</t>
  </si>
  <si>
    <t>86,600,000</t>
  </si>
  <si>
    <t>1,883,130</t>
  </si>
  <si>
    <t>1.19%</t>
  </si>
  <si>
    <t>5.23</t>
  </si>
  <si>
    <t>DC07-S1-050</t>
  </si>
  <si>
    <t>215,993,971</t>
  </si>
  <si>
    <t>144,425,000</t>
  </si>
  <si>
    <t>66,561,705</t>
  </si>
  <si>
    <t>44,400,000</t>
  </si>
  <si>
    <t>9,000,000</t>
  </si>
  <si>
    <t>20,238,311</t>
  </si>
  <si>
    <t>9.37%</t>
  </si>
  <si>
    <t>30.41%</t>
  </si>
  <si>
    <t>17.18</t>
  </si>
  <si>
    <t>57.76%</t>
  </si>
  <si>
    <t>dc04-s5-03</t>
  </si>
  <si>
    <t>9,033,998,079</t>
  </si>
  <si>
    <t>4,788,200,000</t>
  </si>
  <si>
    <t>174,010,733</t>
  </si>
  <si>
    <t>95,000,000</t>
  </si>
  <si>
    <t>2,708,000</t>
  </si>
  <si>
    <t>1.56%</t>
  </si>
  <si>
    <t>4.78</t>
  </si>
  <si>
    <t>ADAM PATTINAMA</t>
  </si>
  <si>
    <t>DC06-D0 NL-006</t>
  </si>
  <si>
    <t>71,623,005</t>
  </si>
  <si>
    <t>48,025,000</t>
  </si>
  <si>
    <t>31,264,473</t>
  </si>
  <si>
    <t>43.65%</t>
  </si>
  <si>
    <t>17.33</t>
  </si>
  <si>
    <t>78.43%</t>
  </si>
  <si>
    <t>DC11-M3-002</t>
  </si>
  <si>
    <t>8,617,106,925</t>
  </si>
  <si>
    <t>4,559,200,000</t>
  </si>
  <si>
    <t>259,022,000</t>
  </si>
  <si>
    <t>141,950,000</t>
  </si>
  <si>
    <t>1,004,388</t>
  </si>
  <si>
    <t>0.39%</t>
  </si>
  <si>
    <t>Annisa Fitri</t>
  </si>
  <si>
    <t>DC07-S0-008</t>
  </si>
  <si>
    <t>57,174,864</t>
  </si>
  <si>
    <t>38,400,000</t>
  </si>
  <si>
    <t>13,700,000</t>
  </si>
  <si>
    <t>21,904,341</t>
  </si>
  <si>
    <t>38.31%</t>
  </si>
  <si>
    <t>10.42</t>
  </si>
  <si>
    <t>DC07-R-0030</t>
  </si>
  <si>
    <t>212,965,033</t>
  </si>
  <si>
    <t>143,350,000</t>
  </si>
  <si>
    <t>74,612,377</t>
  </si>
  <si>
    <t>50,050,000</t>
  </si>
  <si>
    <t>32,247,601</t>
  </si>
  <si>
    <t>15.14%</t>
  </si>
  <si>
    <t>43.22%</t>
  </si>
  <si>
    <t>8.85</t>
  </si>
  <si>
    <t>65.69%</t>
  </si>
  <si>
    <t>DC09-S1-001</t>
  </si>
  <si>
    <t>2,085,386,506</t>
  </si>
  <si>
    <t>1,379,050,000</t>
  </si>
  <si>
    <t>222,873,568</t>
  </si>
  <si>
    <t>149,400,000</t>
  </si>
  <si>
    <t>71,792,244</t>
  </si>
  <si>
    <t>3.44%</t>
  </si>
  <si>
    <t>32.21%</t>
  </si>
  <si>
    <t>11.07</t>
  </si>
  <si>
    <t>16.23%</t>
  </si>
  <si>
    <t>45.55%</t>
  </si>
  <si>
    <t>Aulia Nurmala Putri</t>
  </si>
  <si>
    <t>Aulia-Nurmala-D0</t>
  </si>
  <si>
    <t>94,972,962</t>
  </si>
  <si>
    <t>63,775,000</t>
  </si>
  <si>
    <t>25,425,000</t>
  </si>
  <si>
    <t>37,561,968</t>
  </si>
  <si>
    <t>39.55%</t>
  </si>
  <si>
    <t>20.15</t>
  </si>
  <si>
    <t>4.68%</t>
  </si>
  <si>
    <t>98.11%</t>
  </si>
  <si>
    <t>DC07-R-061</t>
  </si>
  <si>
    <t>107,885,416</t>
  </si>
  <si>
    <t>72,350,000</t>
  </si>
  <si>
    <t>67,459,838</t>
  </si>
  <si>
    <t>45,250,000</t>
  </si>
  <si>
    <t>15,600,000</t>
  </si>
  <si>
    <t>34,917,030</t>
  </si>
  <si>
    <t>32.36%</t>
  </si>
  <si>
    <t>51.76%</t>
  </si>
  <si>
    <t>DC10-D0-014</t>
  </si>
  <si>
    <t>433,625,531</t>
  </si>
  <si>
    <t>291,600,000</t>
  </si>
  <si>
    <t>76,450,000</t>
  </si>
  <si>
    <t>144,305,099</t>
  </si>
  <si>
    <t>33.28%</t>
  </si>
  <si>
    <t>20.1</t>
  </si>
  <si>
    <t>MPT05-S1-028</t>
  </si>
  <si>
    <t>317,270,206</t>
  </si>
  <si>
    <t>209,650,000</t>
  </si>
  <si>
    <t>96,458,552</t>
  </si>
  <si>
    <t>64,250,000</t>
  </si>
  <si>
    <t>3,116,031</t>
  </si>
  <si>
    <t>15.83</t>
  </si>
  <si>
    <t>4.63%</t>
  </si>
  <si>
    <t>56%</t>
  </si>
  <si>
    <t>56.57%</t>
  </si>
  <si>
    <t>dc04-s5-09</t>
  </si>
  <si>
    <t>9,683,497,829</t>
  </si>
  <si>
    <t>5,102,775,000</t>
  </si>
  <si>
    <t>211,053,556</t>
  </si>
  <si>
    <t>115,625,000</t>
  </si>
  <si>
    <t>4,710,000</t>
  </si>
  <si>
    <t>2.23%</t>
  </si>
  <si>
    <t>Kiki Fadilah</t>
  </si>
  <si>
    <t>Kiki-Fadilah-D0</t>
  </si>
  <si>
    <t>83,286,131</t>
  </si>
  <si>
    <t>55,875,000</t>
  </si>
  <si>
    <t>11,963,216</t>
  </si>
  <si>
    <t>14.36%</t>
  </si>
  <si>
    <t>19.72</t>
  </si>
  <si>
    <t>12.65%</t>
  </si>
  <si>
    <t>MPT05-S1-041</t>
  </si>
  <si>
    <t>281,896,908</t>
  </si>
  <si>
    <t>186,300,000</t>
  </si>
  <si>
    <t>74,018,483</t>
  </si>
  <si>
    <t>49,225,000</t>
  </si>
  <si>
    <t>2,250,000</t>
  </si>
  <si>
    <t>8,818,059</t>
  </si>
  <si>
    <t>3.13%</t>
  </si>
  <si>
    <t>11.91%</t>
  </si>
  <si>
    <t>3.99%</t>
  </si>
  <si>
    <t>46.88%</t>
  </si>
  <si>
    <t>DC13-D0-001</t>
  </si>
  <si>
    <t>413,561,730</t>
  </si>
  <si>
    <t>278,100,000</t>
  </si>
  <si>
    <t>90,750,000</t>
  </si>
  <si>
    <t>148,861,642</t>
  </si>
  <si>
    <t>36%</t>
  </si>
  <si>
    <t>21.93</t>
  </si>
  <si>
    <t>96.97%</t>
  </si>
  <si>
    <t>FINKI AGUSTIN</t>
  </si>
  <si>
    <t>DC06-D0 NL-009</t>
  </si>
  <si>
    <t>95,268,115</t>
  </si>
  <si>
    <t>64,000,000</t>
  </si>
  <si>
    <t>14,069,297</t>
  </si>
  <si>
    <t>18.78</t>
  </si>
  <si>
    <t>DC07-S1-023</t>
  </si>
  <si>
    <t>214,483,131</t>
  </si>
  <si>
    <t>141,675,000</t>
  </si>
  <si>
    <t>30,212,631</t>
  </si>
  <si>
    <t>5,948,227</t>
  </si>
  <si>
    <t>2.77%</t>
  </si>
  <si>
    <t>19.69%</t>
  </si>
  <si>
    <t>55.41%</t>
  </si>
  <si>
    <t>Muhammad Juhdiyanto</t>
  </si>
  <si>
    <t>M_Juhdiyanto-S1</t>
  </si>
  <si>
    <t>252,345,337</t>
  </si>
  <si>
    <t>167,200,000</t>
  </si>
  <si>
    <t>77,827,150</t>
  </si>
  <si>
    <t>51,900,000</t>
  </si>
  <si>
    <t>1,450,000</t>
  </si>
  <si>
    <t>3,065,816</t>
  </si>
  <si>
    <t>1.21%</t>
  </si>
  <si>
    <t>3.94%</t>
  </si>
  <si>
    <t>9.11%</t>
  </si>
  <si>
    <t>39.24%</t>
  </si>
  <si>
    <t>55.7%</t>
  </si>
  <si>
    <t>dc01-s2-1</t>
  </si>
  <si>
    <t>4,661,762,020</t>
  </si>
  <si>
    <t>2,969,425,000</t>
  </si>
  <si>
    <t>145,147,255</t>
  </si>
  <si>
    <t>95,725,000</t>
  </si>
  <si>
    <t>2,553,795</t>
  </si>
  <si>
    <t>13,283,931</t>
  </si>
  <si>
    <t>9.15%</t>
  </si>
  <si>
    <t>16.65</t>
  </si>
  <si>
    <t>Ratu Shabrina Khansa Callista</t>
  </si>
  <si>
    <t>Shabrina-Callista-D0</t>
  </si>
  <si>
    <t>79,308,042</t>
  </si>
  <si>
    <t>53,200,000</t>
  </si>
  <si>
    <t>14,600,000</t>
  </si>
  <si>
    <t>21,545,400</t>
  </si>
  <si>
    <t>27.17%</t>
  </si>
  <si>
    <t>20.42</t>
  </si>
  <si>
    <t>dc04-s4-03</t>
  </si>
  <si>
    <t>8,562,650,941</t>
  </si>
  <si>
    <t>4,936,670,000</t>
  </si>
  <si>
    <t>199,029,842</t>
  </si>
  <si>
    <t>121,325,000</t>
  </si>
  <si>
    <t>756,771</t>
  </si>
  <si>
    <t>6.03</t>
  </si>
  <si>
    <t>Agisti Dewi Zahra</t>
  </si>
  <si>
    <t>Agisti-Zahra-R</t>
  </si>
  <si>
    <t>90,569,587</t>
  </si>
  <si>
    <t>60,850,000</t>
  </si>
  <si>
    <t>15,921,267</t>
  </si>
  <si>
    <t>17.58%</t>
  </si>
  <si>
    <t>7.02</t>
  </si>
  <si>
    <t>3.45%</t>
  </si>
  <si>
    <t>DC09-S1-005</t>
  </si>
  <si>
    <t>1,898,782,760</t>
  </si>
  <si>
    <t>1,257,640,000</t>
  </si>
  <si>
    <t>234,587,975</t>
  </si>
  <si>
    <t>156,600,000</t>
  </si>
  <si>
    <t>55,804,517</t>
  </si>
  <si>
    <t>2.94%</t>
  </si>
  <si>
    <t>23.79%</t>
  </si>
  <si>
    <t>27.42%</t>
  </si>
  <si>
    <t>55.38%</t>
  </si>
  <si>
    <t>dc04-m2+002</t>
  </si>
  <si>
    <t>8,633,076,682</t>
  </si>
  <si>
    <t>4,556,800,000</t>
  </si>
  <si>
    <t>230,562,010</t>
  </si>
  <si>
    <t>126,450,000</t>
  </si>
  <si>
    <t>9.37</t>
  </si>
  <si>
    <t>DC07-R-056</t>
  </si>
  <si>
    <t>213,239,150</t>
  </si>
  <si>
    <t>143,100,000</t>
  </si>
  <si>
    <t>141,709,001</t>
  </si>
  <si>
    <t>95,075,000</t>
  </si>
  <si>
    <t>8,500,000</t>
  </si>
  <si>
    <t>27,266,710</t>
  </si>
  <si>
    <t>12.79%</t>
  </si>
  <si>
    <t>19.24%</t>
  </si>
  <si>
    <t>19.02</t>
  </si>
  <si>
    <t>63.21%</t>
  </si>
  <si>
    <t>Arif Wibowo</t>
  </si>
  <si>
    <t>Arif-Wibowo-D0</t>
  </si>
  <si>
    <t>71,461,816</t>
  </si>
  <si>
    <t>47,950,000</t>
  </si>
  <si>
    <t>20,730,694</t>
  </si>
  <si>
    <t>29.01%</t>
  </si>
  <si>
    <t>18.35</t>
  </si>
  <si>
    <t>0.58%</t>
  </si>
  <si>
    <t>79.59%</t>
  </si>
  <si>
    <t>97.96%</t>
  </si>
  <si>
    <t>Muhammad Aziz Cahya Putra</t>
  </si>
  <si>
    <t>Aziz-Cahya-Putra-R</t>
  </si>
  <si>
    <t>340,933,083</t>
  </si>
  <si>
    <t>228,925,000</t>
  </si>
  <si>
    <t>196,351,951</t>
  </si>
  <si>
    <t>131,800,000</t>
  </si>
  <si>
    <t>14,950,000</t>
  </si>
  <si>
    <t>48,302,605</t>
  </si>
  <si>
    <t>14.17%</t>
  </si>
  <si>
    <t>24.6%</t>
  </si>
  <si>
    <t>3.73%</t>
  </si>
  <si>
    <t>74.83%</t>
  </si>
  <si>
    <t>dc04-s4-06</t>
  </si>
  <si>
    <t>8,795,893,448</t>
  </si>
  <si>
    <t>5,082,505,000</t>
  </si>
  <si>
    <t>202,655,136</t>
  </si>
  <si>
    <t>124,750,000</t>
  </si>
  <si>
    <t>222,392</t>
  </si>
  <si>
    <t>542,599</t>
  </si>
  <si>
    <t>0.27%</t>
  </si>
  <si>
    <t>5.73</t>
  </si>
  <si>
    <t>DC06-M2-0006</t>
  </si>
  <si>
    <t>5,943,575,045</t>
  </si>
  <si>
    <t>3,466,670,000</t>
  </si>
  <si>
    <t>201,901,355</t>
  </si>
  <si>
    <t>123,100,000</t>
  </si>
  <si>
    <t>4,706,826</t>
  </si>
  <si>
    <t>2.33%</t>
  </si>
  <si>
    <t>14.15</t>
  </si>
  <si>
    <t>LIANUS DAELI</t>
  </si>
  <si>
    <t>MPT05-S1-3010</t>
  </si>
  <si>
    <t>142,668,022</t>
  </si>
  <si>
    <t>95,100,000</t>
  </si>
  <si>
    <t>67,689,689</t>
  </si>
  <si>
    <t>45,350,000</t>
  </si>
  <si>
    <t>1,850,000</t>
  </si>
  <si>
    <t>3,281,046</t>
  </si>
  <si>
    <t>4.85%</t>
  </si>
  <si>
    <t>19.8</t>
  </si>
  <si>
    <t>DC11-M3-006</t>
  </si>
  <si>
    <t>8,919,150,055</t>
  </si>
  <si>
    <t>4,713,950,000</t>
  </si>
  <si>
    <t>204,990,805</t>
  </si>
  <si>
    <t>112,400,000</t>
  </si>
  <si>
    <t>92,099</t>
  </si>
  <si>
    <t>DC13-R-001</t>
  </si>
  <si>
    <t>1,595,577,189</t>
  </si>
  <si>
    <t>1,073,775,000</t>
  </si>
  <si>
    <t>912,314,638</t>
  </si>
  <si>
    <t>613,625,000</t>
  </si>
  <si>
    <t>144,200,000</t>
  </si>
  <si>
    <t>360,227,161</t>
  </si>
  <si>
    <t>22.58%</t>
  </si>
  <si>
    <t>39.48%</t>
  </si>
  <si>
    <t>22.23</t>
  </si>
  <si>
    <t>68.97%</t>
  </si>
  <si>
    <t>dc01-m2-003</t>
  </si>
  <si>
    <t>3,347,229,498</t>
  </si>
  <si>
    <t>2,002,575,000</t>
  </si>
  <si>
    <t>287,179,806</t>
  </si>
  <si>
    <t>175,125,000</t>
  </si>
  <si>
    <t>8.62</t>
  </si>
  <si>
    <t>DC07-S1-053</t>
  </si>
  <si>
    <t>298,315,572</t>
  </si>
  <si>
    <t>197,125,000</t>
  </si>
  <si>
    <t>65,384,562</t>
  </si>
  <si>
    <t>43,575,000</t>
  </si>
  <si>
    <t>1,200,000</t>
  </si>
  <si>
    <t>5,899,193</t>
  </si>
  <si>
    <t>1.98%</t>
  </si>
  <si>
    <t>9.02%</t>
  </si>
  <si>
    <t>29.06%</t>
  </si>
  <si>
    <t>DC10-R-018</t>
  </si>
  <si>
    <t>1,438,274,735</t>
  </si>
  <si>
    <t>982,800,000</t>
  </si>
  <si>
    <t>874,908,851</t>
  </si>
  <si>
    <t>589,500,000</t>
  </si>
  <si>
    <t>352,972,722</t>
  </si>
  <si>
    <t>40.34%</t>
  </si>
  <si>
    <t>24.52</t>
  </si>
  <si>
    <t>70.59%</t>
  </si>
  <si>
    <t>Adiansyah</t>
  </si>
  <si>
    <t>Adiansyah-S2</t>
  </si>
  <si>
    <t>3,788,622,700</t>
  </si>
  <si>
    <t>2,435,030,000</t>
  </si>
  <si>
    <t>205,636,898</t>
  </si>
  <si>
    <t>133,825,000</t>
  </si>
  <si>
    <t>17,211,742</t>
  </si>
  <si>
    <t>8.37%</t>
  </si>
  <si>
    <t>0.18%</t>
  </si>
  <si>
    <t>4.97%</t>
  </si>
  <si>
    <t>Riko Yuli Setiawan</t>
  </si>
  <si>
    <t>Riko-Yuli-Setiawan-R</t>
  </si>
  <si>
    <t>333,146,418</t>
  </si>
  <si>
    <t>223,625,000</t>
  </si>
  <si>
    <t>178,981,412</t>
  </si>
  <si>
    <t>120,125,000</t>
  </si>
  <si>
    <t>25,000,000</t>
  </si>
  <si>
    <t>56,135,684</t>
  </si>
  <si>
    <t>16.85%</t>
  </si>
  <si>
    <t>22.37</t>
  </si>
  <si>
    <t>0.74%</t>
  </si>
  <si>
    <t>66.89%</t>
  </si>
  <si>
    <t>71.62%</t>
  </si>
  <si>
    <t>DC10-R-021</t>
  </si>
  <si>
    <t>1,495,075,436</t>
  </si>
  <si>
    <t>1,014,300,000</t>
  </si>
  <si>
    <t>911,035,405</t>
  </si>
  <si>
    <t>613,800,000</t>
  </si>
  <si>
    <t>402,614,794</t>
  </si>
  <si>
    <t>26.93%</t>
  </si>
  <si>
    <t>44.19%</t>
  </si>
  <si>
    <t>22.93</t>
  </si>
  <si>
    <t>70.4%</t>
  </si>
  <si>
    <t>IN-R-001</t>
  </si>
  <si>
    <t>56,296,710</t>
  </si>
  <si>
    <t>46,500,000</t>
  </si>
  <si>
    <t>27,933,306</t>
  </si>
  <si>
    <t>22,780,000</t>
  </si>
  <si>
    <t>6,900,000</t>
  </si>
  <si>
    <t>15,569,288</t>
  </si>
  <si>
    <t>27.66%</t>
  </si>
  <si>
    <t>55.74%</t>
  </si>
  <si>
    <t>17.23</t>
  </si>
  <si>
    <t>74.23%</t>
  </si>
  <si>
    <t>76.07%</t>
  </si>
  <si>
    <t>Putri Berliana</t>
  </si>
  <si>
    <t>Putri-Berliana-D0</t>
  </si>
  <si>
    <t>95,170,313</t>
  </si>
  <si>
    <t>63,900,000</t>
  </si>
  <si>
    <t>19,010,747</t>
  </si>
  <si>
    <t>19.98%</t>
  </si>
  <si>
    <t>22.83</t>
  </si>
  <si>
    <t>7.53%</t>
  </si>
  <si>
    <t>97.62%</t>
  </si>
  <si>
    <t>DC04-M3+001</t>
  </si>
  <si>
    <t>460,147,159,010</t>
  </si>
  <si>
    <t>232,600,572,000</t>
  </si>
  <si>
    <t>8,210,205,921</t>
  </si>
  <si>
    <t>4,166,970,000</t>
  </si>
  <si>
    <t>4,861,080</t>
  </si>
  <si>
    <t>13,304,979</t>
  </si>
  <si>
    <t>8.68</t>
  </si>
  <si>
    <t>Muhammad Ripaldi</t>
  </si>
  <si>
    <t>Muhammad-Ripaldi-S1</t>
  </si>
  <si>
    <t>371,644,736</t>
  </si>
  <si>
    <t>245,450,000</t>
  </si>
  <si>
    <t>42,927,198</t>
  </si>
  <si>
    <t>28,550,000</t>
  </si>
  <si>
    <t>2,021,402</t>
  </si>
  <si>
    <t>4.71%</t>
  </si>
  <si>
    <t>39.13%</t>
  </si>
  <si>
    <t>51.69%</t>
  </si>
  <si>
    <t>DC09-R-004</t>
  </si>
  <si>
    <t>696,268,036</t>
  </si>
  <si>
    <t>482,575,000</t>
  </si>
  <si>
    <t>380,202,143</t>
  </si>
  <si>
    <t>48,200,000</t>
  </si>
  <si>
    <t>204,700,659</t>
  </si>
  <si>
    <t>29.4%</t>
  </si>
  <si>
    <t>53.84%</t>
  </si>
  <si>
    <t>15.1</t>
  </si>
  <si>
    <t>15.4%</t>
  </si>
  <si>
    <t>53.62%</t>
  </si>
  <si>
    <t>Listya Nisa Prasida</t>
  </si>
  <si>
    <t>MPT05-S1-W4011</t>
  </si>
  <si>
    <t>186,476,618</t>
  </si>
  <si>
    <t>124,250,000</t>
  </si>
  <si>
    <t>76,563,780</t>
  </si>
  <si>
    <t>6,701,935</t>
  </si>
  <si>
    <t>3.59%</t>
  </si>
  <si>
    <t>8.75%</t>
  </si>
  <si>
    <t>19.5</t>
  </si>
  <si>
    <t>13.4%</t>
  </si>
  <si>
    <t>61.22%</t>
  </si>
  <si>
    <t>DC07-S1-011</t>
  </si>
  <si>
    <t>310,922,937</t>
  </si>
  <si>
    <t>205,200,000</t>
  </si>
  <si>
    <t>46,905,699</t>
  </si>
  <si>
    <t>30,975,000</t>
  </si>
  <si>
    <t>950,000</t>
  </si>
  <si>
    <t>4,822,908</t>
  </si>
  <si>
    <t>1.55%</t>
  </si>
  <si>
    <t>10.28%</t>
  </si>
  <si>
    <t>9.52</t>
  </si>
  <si>
    <t>56.98%</t>
  </si>
  <si>
    <t>dc01-s1-2</t>
  </si>
  <si>
    <t>338,777,445</t>
  </si>
  <si>
    <t>224,675,000</t>
  </si>
  <si>
    <t>68,215,709</t>
  </si>
  <si>
    <t>46,175,000</t>
  </si>
  <si>
    <t>3,287,025</t>
  </si>
  <si>
    <t>6,940,615</t>
  </si>
  <si>
    <t>2.05%</t>
  </si>
  <si>
    <t>10.17%</t>
  </si>
  <si>
    <t>15.37</t>
  </si>
  <si>
    <t>59.01%</t>
  </si>
  <si>
    <t>DC12-D0-003</t>
  </si>
  <si>
    <t>365,511,868</t>
  </si>
  <si>
    <t>245,700,000</t>
  </si>
  <si>
    <t>68,700,000</t>
  </si>
  <si>
    <t>127,859,502</t>
  </si>
  <si>
    <t>34.98%</t>
  </si>
  <si>
    <t>dc04-m2+005</t>
  </si>
  <si>
    <t>10,016,614,775</t>
  </si>
  <si>
    <t>5,295,975,000</t>
  </si>
  <si>
    <t>202,788,997</t>
  </si>
  <si>
    <t>111,175,000</t>
  </si>
  <si>
    <t>6.67</t>
  </si>
  <si>
    <t>dc04-s5-05</t>
  </si>
  <si>
    <t>9,305,603,458</t>
  </si>
  <si>
    <t>4,949,275,000</t>
  </si>
  <si>
    <t>216,880,541</t>
  </si>
  <si>
    <t>120,075,000</t>
  </si>
  <si>
    <t>0.46%</t>
  </si>
  <si>
    <t>2.63</t>
  </si>
  <si>
    <t>DC07-S0-017</t>
  </si>
  <si>
    <t>37,545,373</t>
  </si>
  <si>
    <t>25,200,000</t>
  </si>
  <si>
    <t>11,600,000</t>
  </si>
  <si>
    <t>18,492,313</t>
  </si>
  <si>
    <t>49.25%</t>
  </si>
  <si>
    <t>9.67</t>
  </si>
  <si>
    <t>DC07-S1-045</t>
  </si>
  <si>
    <t>437,491,885</t>
  </si>
  <si>
    <t>288,975,000</t>
  </si>
  <si>
    <t>71,848,452</t>
  </si>
  <si>
    <t>47,800,000</t>
  </si>
  <si>
    <t>2,725,950</t>
  </si>
  <si>
    <t>0.62%</t>
  </si>
  <si>
    <t>3.79%</t>
  </si>
  <si>
    <t>17.15</t>
  </si>
  <si>
    <t>50.92%</t>
  </si>
  <si>
    <t>DC07-D0 NL-003</t>
  </si>
  <si>
    <t>79,812,753</t>
  </si>
  <si>
    <t>53,525,000</t>
  </si>
  <si>
    <t>19,600,000</t>
  </si>
  <si>
    <t>30,225,602</t>
  </si>
  <si>
    <t>37.87%</t>
  </si>
  <si>
    <t>21.2</t>
  </si>
  <si>
    <t>MPT05-D0-013</t>
  </si>
  <si>
    <t>47,255,120</t>
  </si>
  <si>
    <t>31,725,000</t>
  </si>
  <si>
    <t>6,550,000</t>
  </si>
  <si>
    <t>10,505,583</t>
  </si>
  <si>
    <t>22.23%</t>
  </si>
  <si>
    <t>12.27</t>
  </si>
  <si>
    <t>74</t>
  </si>
  <si>
    <t>dc04-s4-08</t>
  </si>
  <si>
    <t>8,410,429,276</t>
  </si>
  <si>
    <t>4,869,110,000</t>
  </si>
  <si>
    <t>201,711,299</t>
  </si>
  <si>
    <t>12.67</t>
  </si>
  <si>
    <t>Lukman H Natasian</t>
  </si>
  <si>
    <t>MPT05-S1-3007</t>
  </si>
  <si>
    <t>192,288,455</t>
  </si>
  <si>
    <t>127,700,000</t>
  </si>
  <si>
    <t>44,427,687</t>
  </si>
  <si>
    <t>29,550,000</t>
  </si>
  <si>
    <t>2,736,750</t>
  </si>
  <si>
    <t>1.42%</t>
  </si>
  <si>
    <t>6.16%</t>
  </si>
  <si>
    <t>5.58</t>
  </si>
  <si>
    <t>25.45%</t>
  </si>
  <si>
    <t>33.33%</t>
  </si>
  <si>
    <t>39.51%</t>
  </si>
  <si>
    <t>DC09-D0-003</t>
  </si>
  <si>
    <t>417,309,734</t>
  </si>
  <si>
    <t>280,800,000</t>
  </si>
  <si>
    <t>33,950,000</t>
  </si>
  <si>
    <t>63,830,940</t>
  </si>
  <si>
    <t>15.3%</t>
  </si>
  <si>
    <t>1.1%</t>
  </si>
  <si>
    <t>DC07-S1-033</t>
  </si>
  <si>
    <t>325,065,969</t>
  </si>
  <si>
    <t>214,925,000</t>
  </si>
  <si>
    <t>68,111,216</t>
  </si>
  <si>
    <t>45,425,000</t>
  </si>
  <si>
    <t>7,825,000</t>
  </si>
  <si>
    <t>13,908,570</t>
  </si>
  <si>
    <t>4.28%</t>
  </si>
  <si>
    <t>20.42%</t>
  </si>
  <si>
    <t>17.57</t>
  </si>
  <si>
    <t>50.38%</t>
  </si>
  <si>
    <t>Maria Ina Masi Sabon</t>
  </si>
  <si>
    <t>Maria-Ina-Masi-Sabon-R</t>
  </si>
  <si>
    <t>134,528,859</t>
  </si>
  <si>
    <t>90,325,000</t>
  </si>
  <si>
    <t>73,078,767</t>
  </si>
  <si>
    <t>49,025,000</t>
  </si>
  <si>
    <t>11,825,000</t>
  </si>
  <si>
    <t>28,429,060</t>
  </si>
  <si>
    <t>21.13%</t>
  </si>
  <si>
    <t>38.9%</t>
  </si>
  <si>
    <t>10.25</t>
  </si>
  <si>
    <t>3.29%</t>
  </si>
  <si>
    <t>49.28%</t>
  </si>
  <si>
    <t>Doni Sukarna</t>
  </si>
  <si>
    <t>Doni-Sukarna-D0</t>
  </si>
  <si>
    <t>105,232,725</t>
  </si>
  <si>
    <t>70,650,000</t>
  </si>
  <si>
    <t>2,850,000</t>
  </si>
  <si>
    <t>5,498,758</t>
  </si>
  <si>
    <t>5.23%</t>
  </si>
  <si>
    <t>20.78</t>
  </si>
  <si>
    <t>11.16%</t>
  </si>
  <si>
    <t>DC07-R-0014</t>
  </si>
  <si>
    <t>314,129,862</t>
  </si>
  <si>
    <t>211,575,000</t>
  </si>
  <si>
    <t>192,304,341</t>
  </si>
  <si>
    <t>129,375,000</t>
  </si>
  <si>
    <t>27,352,794</t>
  </si>
  <si>
    <t>8.71%</t>
  </si>
  <si>
    <t>14.22%</t>
  </si>
  <si>
    <t>19.12</t>
  </si>
  <si>
    <t>73.61%</t>
  </si>
  <si>
    <t>DC11-M3-004</t>
  </si>
  <si>
    <t>8,742,178,029</t>
  </si>
  <si>
    <t>4,639,750,000</t>
  </si>
  <si>
    <t>242,632,640</t>
  </si>
  <si>
    <t>133,700,000</t>
  </si>
  <si>
    <t>3,115,080</t>
  </si>
  <si>
    <t>1.28%</t>
  </si>
  <si>
    <t>FAUZAN RIFKA NANDA</t>
  </si>
  <si>
    <t>dc06-m2-001</t>
  </si>
  <si>
    <t>8,436,812,914</t>
  </si>
  <si>
    <t>4,859,775,000</t>
  </si>
  <si>
    <t>271,252,430</t>
  </si>
  <si>
    <t>165,450,000</t>
  </si>
  <si>
    <t>16,713,771</t>
  </si>
  <si>
    <t>5.25</t>
  </si>
  <si>
    <t>MPT05-D0-015</t>
  </si>
  <si>
    <t>89,114,400</t>
  </si>
  <si>
    <t>59,850,000</t>
  </si>
  <si>
    <t>10,825,000</t>
  </si>
  <si>
    <t>17,768,009</t>
  </si>
  <si>
    <t>19.94%</t>
  </si>
  <si>
    <t>26.63</t>
  </si>
  <si>
    <t>19.97%</t>
  </si>
  <si>
    <t>93.48%</t>
  </si>
  <si>
    <t>860</t>
  </si>
  <si>
    <t>Markus Birahy</t>
  </si>
  <si>
    <t>DC06-S2-004</t>
  </si>
  <si>
    <t>4,528,863,633</t>
  </si>
  <si>
    <t>2,914,055,000</t>
  </si>
  <si>
    <t>149,012,437</t>
  </si>
  <si>
    <t>97,050,000</t>
  </si>
  <si>
    <t>10,666,318</t>
  </si>
  <si>
    <t>7.16%</t>
  </si>
  <si>
    <t>14.67</t>
  </si>
  <si>
    <t>DC07-S1-0026</t>
  </si>
  <si>
    <t>370,943,235</t>
  </si>
  <si>
    <t>248,275,000</t>
  </si>
  <si>
    <t>107,987,585</t>
  </si>
  <si>
    <t>72,275,000</t>
  </si>
  <si>
    <t>3,600,000</t>
  </si>
  <si>
    <t>14,938,956</t>
  </si>
  <si>
    <t>4.03%</t>
  </si>
  <si>
    <t>13.83%</t>
  </si>
  <si>
    <t>20.08</t>
  </si>
  <si>
    <t>58.74%</t>
  </si>
  <si>
    <t>LULUK MUKARRAMAH</t>
  </si>
  <si>
    <t>DC06-S2-006</t>
  </si>
  <si>
    <t>3,979,415,461</t>
  </si>
  <si>
    <t>2,562,080,000</t>
  </si>
  <si>
    <t>251,884,844</t>
  </si>
  <si>
    <t>163,950,000</t>
  </si>
  <si>
    <t>4,259,706</t>
  </si>
  <si>
    <t>0.11%</t>
  </si>
  <si>
    <t>ANDHIKA ANANDA ISSA PRATAMA</t>
  </si>
  <si>
    <t>DC06-S1-10</t>
  </si>
  <si>
    <t>414,511,912</t>
  </si>
  <si>
    <t>276,545,000</t>
  </si>
  <si>
    <t>75,662,452</t>
  </si>
  <si>
    <t>50,370,000</t>
  </si>
  <si>
    <t>6,136,366</t>
  </si>
  <si>
    <t>1.48%</t>
  </si>
  <si>
    <t>8.11%</t>
  </si>
  <si>
    <t>15.52</t>
  </si>
  <si>
    <t>59.28%</t>
  </si>
  <si>
    <t>DC07-S0-016</t>
  </si>
  <si>
    <t>66,452,944</t>
  </si>
  <si>
    <t>44,600,000</t>
  </si>
  <si>
    <t>6,100,000</t>
  </si>
  <si>
    <t>11,116,564</t>
  </si>
  <si>
    <t>16.73%</t>
  </si>
  <si>
    <t>15.55</t>
  </si>
  <si>
    <t>95.24%</t>
  </si>
  <si>
    <t>DC07-R-0040</t>
  </si>
  <si>
    <t>282,294,359</t>
  </si>
  <si>
    <t>189,725,000</t>
  </si>
  <si>
    <t>168,507,761</t>
  </si>
  <si>
    <t>113,325,000</t>
  </si>
  <si>
    <t>27,675,000</t>
  </si>
  <si>
    <t>63,994,318</t>
  </si>
  <si>
    <t>22.67%</t>
  </si>
  <si>
    <t>37.98%</t>
  </si>
  <si>
    <t>16.98</t>
  </si>
  <si>
    <t>76.69%</t>
  </si>
  <si>
    <t>dc04-m2+004</t>
  </si>
  <si>
    <t>8,686,681,172</t>
  </si>
  <si>
    <t>4,622,100,000</t>
  </si>
  <si>
    <t>247,725,519</t>
  </si>
  <si>
    <t>135,525,000</t>
  </si>
  <si>
    <t>1.4</t>
  </si>
  <si>
    <t>DC07-R-0034</t>
  </si>
  <si>
    <t>271,634,132</t>
  </si>
  <si>
    <t>184,150,000</t>
  </si>
  <si>
    <t>170,738,211</t>
  </si>
  <si>
    <t>114,600,000</t>
  </si>
  <si>
    <t>35,500,000</t>
  </si>
  <si>
    <t>91,945,155</t>
  </si>
  <si>
    <t>33.85%</t>
  </si>
  <si>
    <t>53.85%</t>
  </si>
  <si>
    <t>23.53</t>
  </si>
  <si>
    <t>PUTRA BONERATE</t>
  </si>
  <si>
    <t>DC06-S2-001</t>
  </si>
  <si>
    <t>4,540,575,522</t>
  </si>
  <si>
    <t>2,915,580,000</t>
  </si>
  <si>
    <t>139,682,054</t>
  </si>
  <si>
    <t>90,870,000</t>
  </si>
  <si>
    <t>450,000</t>
  </si>
  <si>
    <t>7,134,755</t>
  </si>
  <si>
    <t>5.11%</t>
  </si>
  <si>
    <t>15.98</t>
  </si>
  <si>
    <t>DC11-M2+001</t>
  </si>
  <si>
    <t>3,714,594,309,330</t>
  </si>
  <si>
    <t>1,915,733,603,528</t>
  </si>
  <si>
    <t>24,902,642,281</t>
  </si>
  <si>
    <t>12,663,895,000</t>
  </si>
  <si>
    <t>10,719,595</t>
  </si>
  <si>
    <t>144,348,745</t>
  </si>
  <si>
    <t>DC07-R-074</t>
  </si>
  <si>
    <t>233,647,996</t>
  </si>
  <si>
    <t>156,850,000</t>
  </si>
  <si>
    <t>131,480,792</t>
  </si>
  <si>
    <t>88,300,000</t>
  </si>
  <si>
    <t>54,953,868</t>
  </si>
  <si>
    <t>23.52%</t>
  </si>
  <si>
    <t>41.8%</t>
  </si>
  <si>
    <t>19.52</t>
  </si>
  <si>
    <t>76.42%</t>
  </si>
  <si>
    <t>DC07-S1-041</t>
  </si>
  <si>
    <t>243,120,168</t>
  </si>
  <si>
    <t>160,475,000</t>
  </si>
  <si>
    <t>66,857,236</t>
  </si>
  <si>
    <t>20,389,972</t>
  </si>
  <si>
    <t>8.39%</t>
  </si>
  <si>
    <t>30.5%</t>
  </si>
  <si>
    <t>14.22</t>
  </si>
  <si>
    <t>62.18%</t>
  </si>
  <si>
    <t>Dewi Sinta</t>
  </si>
  <si>
    <t>Dewi-Sinta-R</t>
  </si>
  <si>
    <t>151,229,073</t>
  </si>
  <si>
    <t>101,400,000</t>
  </si>
  <si>
    <t>68,139,289</t>
  </si>
  <si>
    <t>45,700,000</t>
  </si>
  <si>
    <t>33,250,607</t>
  </si>
  <si>
    <t>21.99%</t>
  </si>
  <si>
    <t>48.8%</t>
  </si>
  <si>
    <t>14.05</t>
  </si>
  <si>
    <t>12.24%</t>
  </si>
  <si>
    <t>68.09%</t>
  </si>
  <si>
    <t>69.15%</t>
  </si>
  <si>
    <t>DC07-R-0041</t>
  </si>
  <si>
    <t>178,347,961</t>
  </si>
  <si>
    <t>120,600,000</t>
  </si>
  <si>
    <t>98,987,018</t>
  </si>
  <si>
    <t>66,450,000</t>
  </si>
  <si>
    <t>26,100,000</t>
  </si>
  <si>
    <t>56,600,401</t>
  </si>
  <si>
    <t>31.74%</t>
  </si>
  <si>
    <t>57.18%</t>
  </si>
  <si>
    <t>22.07</t>
  </si>
  <si>
    <t>44.71%</t>
  </si>
  <si>
    <t>Aulia Hairunnisa</t>
  </si>
  <si>
    <t>Aulia-Hairunnisa-R</t>
  </si>
  <si>
    <t>47,954,394</t>
  </si>
  <si>
    <t>3,800,000</t>
  </si>
  <si>
    <t>7,374,969</t>
  </si>
  <si>
    <t>15.38%</t>
  </si>
  <si>
    <t>8.22</t>
  </si>
  <si>
    <t>3.18%</t>
  </si>
  <si>
    <t>10</t>
  </si>
  <si>
    <t>DC10-R-019</t>
  </si>
  <si>
    <t>1,208,569,033</t>
  </si>
  <si>
    <t>812,700,000</t>
  </si>
  <si>
    <t>884,636,231</t>
  </si>
  <si>
    <t>594,900,000</t>
  </si>
  <si>
    <t>184,350,000</t>
  </si>
  <si>
    <t>412,441,704</t>
  </si>
  <si>
    <t>34.13%</t>
  </si>
  <si>
    <t>46.62%</t>
  </si>
  <si>
    <t>20</t>
  </si>
  <si>
    <t>68%</t>
  </si>
  <si>
    <t>dc04-s4-07</t>
  </si>
  <si>
    <t>8,250,454,727</t>
  </si>
  <si>
    <t>4,768,405,000</t>
  </si>
  <si>
    <t>203,832,950</t>
  </si>
  <si>
    <t>125,950,000</t>
  </si>
  <si>
    <t>1,604,836</t>
  </si>
  <si>
    <t>9.88</t>
  </si>
  <si>
    <t>DC07-R-012</t>
  </si>
  <si>
    <t>229,328,265</t>
  </si>
  <si>
    <t>154,050,000</t>
  </si>
  <si>
    <t>148,788,388</t>
  </si>
  <si>
    <t>99,975,000</t>
  </si>
  <si>
    <t>28,800,000</t>
  </si>
  <si>
    <t>62,708,591</t>
  </si>
  <si>
    <t>27.34%</t>
  </si>
  <si>
    <t>42.15%</t>
  </si>
  <si>
    <t>22.42</t>
  </si>
  <si>
    <t>75.78%</t>
  </si>
  <si>
    <t>DC07-R-077</t>
  </si>
  <si>
    <t>229,239,469</t>
  </si>
  <si>
    <t>153,825,000</t>
  </si>
  <si>
    <t>144,492,298</t>
  </si>
  <si>
    <t>96,975,000</t>
  </si>
  <si>
    <t>18,750,000</t>
  </si>
  <si>
    <t>62,613,274</t>
  </si>
  <si>
    <t>43.33%</t>
  </si>
  <si>
    <t>16.35</t>
  </si>
  <si>
    <t>71.84%</t>
  </si>
  <si>
    <t>Elan Riang Sriyani Hia</t>
  </si>
  <si>
    <t>Elan-Riang-Sriyani-Hia-S0</t>
  </si>
  <si>
    <t>37,654,617</t>
  </si>
  <si>
    <t>25,275,000</t>
  </si>
  <si>
    <t>5,975,000</t>
  </si>
  <si>
    <t>10,396,824</t>
  </si>
  <si>
    <t>27.61%</t>
  </si>
  <si>
    <t>9.55</t>
  </si>
  <si>
    <t>22.22%</t>
  </si>
  <si>
    <t>Raihan Syafiq Sauqi</t>
  </si>
  <si>
    <t>Raihan-Syafiq-Sauqi-S1</t>
  </si>
  <si>
    <t>313,590,950</t>
  </si>
  <si>
    <t>213,390,000</t>
  </si>
  <si>
    <t>90,595,395</t>
  </si>
  <si>
    <t>60,475,000</t>
  </si>
  <si>
    <t>1,370,254</t>
  </si>
  <si>
    <t>1.51%</t>
  </si>
  <si>
    <t>12.3</t>
  </si>
  <si>
    <t>60.63%</t>
  </si>
  <si>
    <t>Diky Permana</t>
  </si>
  <si>
    <t>Diky-Permana-R</t>
  </si>
  <si>
    <t>224,447,244</t>
  </si>
  <si>
    <t>150,550,000</t>
  </si>
  <si>
    <t>136,328,701</t>
  </si>
  <si>
    <t>91,450,000</t>
  </si>
  <si>
    <t>26,800,000</t>
  </si>
  <si>
    <t>68,578,757</t>
  </si>
  <si>
    <t>30.55%</t>
  </si>
  <si>
    <t>50.3%</t>
  </si>
  <si>
    <t>17.95</t>
  </si>
  <si>
    <t>1.77%</t>
  </si>
  <si>
    <t>75.89%</t>
  </si>
  <si>
    <t>DC07-S0-021</t>
  </si>
  <si>
    <t>46,247,617</t>
  </si>
  <si>
    <t>31,025,000</t>
  </si>
  <si>
    <t>14,150,000</t>
  </si>
  <si>
    <t>20,792,937</t>
  </si>
  <si>
    <t>44.96%</t>
  </si>
  <si>
    <t>DC06-M2-0005</t>
  </si>
  <si>
    <t>6,229,767,025</t>
  </si>
  <si>
    <t>3,649,110,000</t>
  </si>
  <si>
    <t>175,784,841</t>
  </si>
  <si>
    <t>109,750,000</t>
  </si>
  <si>
    <t>2,200,792</t>
  </si>
  <si>
    <t>1,553,262</t>
  </si>
  <si>
    <t>13.35</t>
  </si>
  <si>
    <t>Sofyan Hadi</t>
  </si>
  <si>
    <t>Sofyan-Hadi-R</t>
  </si>
  <si>
    <t>226,440,911</t>
  </si>
  <si>
    <t>151,950,000</t>
  </si>
  <si>
    <t>183,260,120</t>
  </si>
  <si>
    <t>122,975,000</t>
  </si>
  <si>
    <t>62,949,919</t>
  </si>
  <si>
    <t>27.8%</t>
  </si>
  <si>
    <t>34.35%</t>
  </si>
  <si>
    <t>21.48</t>
  </si>
  <si>
    <t>0.34%</t>
  </si>
  <si>
    <t>74.36%</t>
  </si>
  <si>
    <t>HERNITA BACING</t>
  </si>
  <si>
    <t>DC06-S2-008</t>
  </si>
  <si>
    <t>3,993,527,208</t>
  </si>
  <si>
    <t>2,550,950,000</t>
  </si>
  <si>
    <t>129,880,217</t>
  </si>
  <si>
    <t>84,525,000</t>
  </si>
  <si>
    <t>21,276,476</t>
  </si>
  <si>
    <t>16.38%</t>
  </si>
  <si>
    <t>7.83</t>
  </si>
  <si>
    <t>dc01-s2-19</t>
  </si>
  <si>
    <t>4,473,543,140</t>
  </si>
  <si>
    <t>2,855,835,000</t>
  </si>
  <si>
    <t>191,413,660</t>
  </si>
  <si>
    <t>124,520,000</t>
  </si>
  <si>
    <t>475,000</t>
  </si>
  <si>
    <t>3,311,373</t>
  </si>
  <si>
    <t>14.83</t>
  </si>
  <si>
    <t>DC09-R-002</t>
  </si>
  <si>
    <t>1,494,015,392</t>
  </si>
  <si>
    <t>1,004,800,000</t>
  </si>
  <si>
    <t>885,340,134</t>
  </si>
  <si>
    <t>595,200,000</t>
  </si>
  <si>
    <t>186,000,000</t>
  </si>
  <si>
    <t>366,390,426</t>
  </si>
  <si>
    <t>24.52%</t>
  </si>
  <si>
    <t>41.38%</t>
  </si>
  <si>
    <t>24.07</t>
  </si>
  <si>
    <t>1.18%</t>
  </si>
  <si>
    <t>79.26%</t>
  </si>
  <si>
    <t>DC07-R-058</t>
  </si>
  <si>
    <t>306,501,630</t>
  </si>
  <si>
    <t>205,700,000</t>
  </si>
  <si>
    <t>204,289,649</t>
  </si>
  <si>
    <t>137,125,000</t>
  </si>
  <si>
    <t>33,642,256</t>
  </si>
  <si>
    <t>10.98%</t>
  </si>
  <si>
    <t>16.47%</t>
  </si>
  <si>
    <t>28.25</t>
  </si>
  <si>
    <t>73.02%</t>
  </si>
  <si>
    <t>Intan Rahma Puteri</t>
  </si>
  <si>
    <t>Intan-Rahma-Puteri-D-3</t>
  </si>
  <si>
    <t>305,347,417</t>
  </si>
  <si>
    <t>22,341,626</t>
  </si>
  <si>
    <t>7.32%</t>
  </si>
  <si>
    <t>9.78</t>
  </si>
  <si>
    <t>5.42%</t>
  </si>
  <si>
    <t>98.57%</t>
  </si>
  <si>
    <t>Amirah Syahidah</t>
  </si>
  <si>
    <t>Amirah-Syahidah-D0</t>
  </si>
  <si>
    <t>75,743,952</t>
  </si>
  <si>
    <t>50,850,000</t>
  </si>
  <si>
    <t>7,950,000</t>
  </si>
  <si>
    <t>13,533,577</t>
  </si>
  <si>
    <t>17.87%</t>
  </si>
  <si>
    <t>21.55</t>
  </si>
  <si>
    <t>13.58%</t>
  </si>
  <si>
    <t>102.17%</t>
  </si>
  <si>
    <t>NANDA BINTANG ANUGRAH</t>
  </si>
  <si>
    <t>DC06-D0-002</t>
  </si>
  <si>
    <t>90,874,699</t>
  </si>
  <si>
    <t>61,000,000</t>
  </si>
  <si>
    <t>30,355,868</t>
  </si>
  <si>
    <t>33.4%</t>
  </si>
  <si>
    <t>18.65</t>
  </si>
  <si>
    <t>87.76%</t>
  </si>
  <si>
    <t>Dita Pradila</t>
  </si>
  <si>
    <t>Dita-Pradila-R</t>
  </si>
  <si>
    <t>203,385,377</t>
  </si>
  <si>
    <t>136,725,000</t>
  </si>
  <si>
    <t>159,264,053</t>
  </si>
  <si>
    <t>107,125,000</t>
  </si>
  <si>
    <t>30,650,000</t>
  </si>
  <si>
    <t>55,407,960</t>
  </si>
  <si>
    <t>27.24%</t>
  </si>
  <si>
    <t>34.79%</t>
  </si>
  <si>
    <t>19.43</t>
  </si>
  <si>
    <t>7.12%</t>
  </si>
  <si>
    <t>72.32%</t>
  </si>
  <si>
    <t>dc01-s2-4</t>
  </si>
  <si>
    <t>4,272,163,172</t>
  </si>
  <si>
    <t>2,719,240,000</t>
  </si>
  <si>
    <t>216,082,084</t>
  </si>
  <si>
    <t>140,625,000</t>
  </si>
  <si>
    <t>2,182,445</t>
  </si>
  <si>
    <t>19.38</t>
  </si>
  <si>
    <t>6</t>
  </si>
  <si>
    <t>Widi Ibnu Sopyan</t>
  </si>
  <si>
    <t>Widi-Ibnu-Sopyan-S1</t>
  </si>
  <si>
    <t>428,904,458</t>
  </si>
  <si>
    <t>283,300,000</t>
  </si>
  <si>
    <t>74,258,601</t>
  </si>
  <si>
    <t>49,250,000</t>
  </si>
  <si>
    <t>1,373,775</t>
  </si>
  <si>
    <t>0.32%</t>
  </si>
  <si>
    <t>1.85%</t>
  </si>
  <si>
    <t>16.33</t>
  </si>
  <si>
    <t>3.61%</t>
  </si>
  <si>
    <t>50.75%</t>
  </si>
  <si>
    <t>dc04-s4-01</t>
  </si>
  <si>
    <t>8,221,978,806</t>
  </si>
  <si>
    <t>4,739,605,000</t>
  </si>
  <si>
    <t>199,597,357</t>
  </si>
  <si>
    <t>121,810,000</t>
  </si>
  <si>
    <t>43,049</t>
  </si>
  <si>
    <t>14.58</t>
  </si>
  <si>
    <t>DC11-M3-003</t>
  </si>
  <si>
    <t>8,667,781,325</t>
  </si>
  <si>
    <t>4,596,675,000</t>
  </si>
  <si>
    <t>203,141,612</t>
  </si>
  <si>
    <t>dc01-s2-31</t>
  </si>
  <si>
    <t>2,434,929,090</t>
  </si>
  <si>
    <t>1,570,175,000</t>
  </si>
  <si>
    <t>157,699,101</t>
  </si>
  <si>
    <t>11,464,470</t>
  </si>
  <si>
    <t>0.47%</t>
  </si>
  <si>
    <t>7.27%</t>
  </si>
  <si>
    <t>DC12-D0-002</t>
  </si>
  <si>
    <t>421,213,498</t>
  </si>
  <si>
    <t>65,200,000</t>
  </si>
  <si>
    <t>123,397,718</t>
  </si>
  <si>
    <t>29.3%</t>
  </si>
  <si>
    <t>IN-D0-002</t>
  </si>
  <si>
    <t>17,516,525</t>
  </si>
  <si>
    <t>14,280,000</t>
  </si>
  <si>
    <t>4,880,000</t>
  </si>
  <si>
    <t>6,463,615</t>
  </si>
  <si>
    <t>36.9%</t>
  </si>
  <si>
    <t>23.32</t>
  </si>
  <si>
    <t>7%</t>
  </si>
  <si>
    <t>45.1%</t>
  </si>
  <si>
    <t>Arsi Cipta Bakti</t>
  </si>
  <si>
    <t>Arsi-Cipta-Bakti-D0</t>
  </si>
  <si>
    <t>127,498,550</t>
  </si>
  <si>
    <t>85,625,000</t>
  </si>
  <si>
    <t>9,975,000</t>
  </si>
  <si>
    <t>16,932,643</t>
  </si>
  <si>
    <t>13.28%</t>
  </si>
  <si>
    <t>27.85</t>
  </si>
  <si>
    <t>4.5%</t>
  </si>
  <si>
    <t>MPT05-D0-024</t>
  </si>
  <si>
    <t>108,137,807</t>
  </si>
  <si>
    <t>72,700,000</t>
  </si>
  <si>
    <t>6,775,000</t>
  </si>
  <si>
    <t>13,220,896</t>
  </si>
  <si>
    <t>12.23%</t>
  </si>
  <si>
    <t>24.38</t>
  </si>
  <si>
    <t>11.96%</t>
  </si>
  <si>
    <t>DC07-D0 NL-001</t>
  </si>
  <si>
    <t>127,973,521</t>
  </si>
  <si>
    <t>85,975,000</t>
  </si>
  <si>
    <t>46,657,619</t>
  </si>
  <si>
    <t>36.46%</t>
  </si>
  <si>
    <t>15.42</t>
  </si>
  <si>
    <t>DC07-R-009</t>
  </si>
  <si>
    <t>209,407,156</t>
  </si>
  <si>
    <t>140,525,000</t>
  </si>
  <si>
    <t>131,152,183</t>
  </si>
  <si>
    <t>88,000,000</t>
  </si>
  <si>
    <t>37,045,130</t>
  </si>
  <si>
    <t>17.69%</t>
  </si>
  <si>
    <t>21.63</t>
  </si>
  <si>
    <t>72.79%</t>
  </si>
  <si>
    <t>DC07-R-072</t>
  </si>
  <si>
    <t>233,215,176</t>
  </si>
  <si>
    <t>156,425,000</t>
  </si>
  <si>
    <t>160,253,116</t>
  </si>
  <si>
    <t>107,550,000</t>
  </si>
  <si>
    <t>44,050,000</t>
  </si>
  <si>
    <t>79,590,903</t>
  </si>
  <si>
    <t>49.67%</t>
  </si>
  <si>
    <t>24.48</t>
  </si>
  <si>
    <t>80.37%</t>
  </si>
  <si>
    <t>Rizal Ludin</t>
  </si>
  <si>
    <t>Rizal-Ludin-S2</t>
  </si>
  <si>
    <t>3,933,449,925</t>
  </si>
  <si>
    <t>2,522,875,000</t>
  </si>
  <si>
    <t>82,160,690</t>
  </si>
  <si>
    <t>53,500,000</t>
  </si>
  <si>
    <t>4.47</t>
  </si>
  <si>
    <t>6.73%</t>
  </si>
  <si>
    <t>9.6%</t>
  </si>
  <si>
    <t>IN-R-003</t>
  </si>
  <si>
    <t>43,909,760</t>
  </si>
  <si>
    <t>35,540,000</t>
  </si>
  <si>
    <t>27,927,711</t>
  </si>
  <si>
    <t>10,570,000</t>
  </si>
  <si>
    <t>16,316,916</t>
  </si>
  <si>
    <t>37.16%</t>
  </si>
  <si>
    <t>58.43%</t>
  </si>
  <si>
    <t>61.67%</t>
  </si>
  <si>
    <t>75.83%</t>
  </si>
  <si>
    <t>IN-S1-001</t>
  </si>
  <si>
    <t>54,981,206</t>
  </si>
  <si>
    <t>43,190,000</t>
  </si>
  <si>
    <t>14,460,561</t>
  </si>
  <si>
    <t>11,360,000</t>
  </si>
  <si>
    <t>4,647,476</t>
  </si>
  <si>
    <t>8.45%</t>
  </si>
  <si>
    <t>32.14%</t>
  </si>
  <si>
    <t>15.3</t>
  </si>
  <si>
    <t>2.85%</t>
  </si>
  <si>
    <t>61.94%</t>
  </si>
  <si>
    <t>Martua Parulian</t>
  </si>
  <si>
    <t>Martua-Parulian-R</t>
  </si>
  <si>
    <t>244,305,018</t>
  </si>
  <si>
    <t>163,825,000</t>
  </si>
  <si>
    <t>152,792,102</t>
  </si>
  <si>
    <t>102,475,000</t>
  </si>
  <si>
    <t>30,700,000</t>
  </si>
  <si>
    <t>53,444,234</t>
  </si>
  <si>
    <t>21.88%</t>
  </si>
  <si>
    <t>24.7</t>
  </si>
  <si>
    <t>3.39%</t>
  </si>
  <si>
    <t>dc04-s5-06</t>
  </si>
  <si>
    <t>9,248,026,177</t>
  </si>
  <si>
    <t>4,919,725,000</t>
  </si>
  <si>
    <t>219,531,805</t>
  </si>
  <si>
    <t>123,850,000</t>
  </si>
  <si>
    <t>2,304,724</t>
  </si>
  <si>
    <t>4.32</t>
  </si>
  <si>
    <t>dc01-s2-3</t>
  </si>
  <si>
    <t>3,953,230,025</t>
  </si>
  <si>
    <t>2,515,900,000</t>
  </si>
  <si>
    <t>196,187,933</t>
  </si>
  <si>
    <t>127,750,000</t>
  </si>
  <si>
    <t>1,825,119</t>
  </si>
  <si>
    <t>4.98</t>
  </si>
  <si>
    <t>DC07-S1-0025</t>
  </si>
  <si>
    <t>347,011,940</t>
  </si>
  <si>
    <t>229,275,000</t>
  </si>
  <si>
    <t>78,636,225</t>
  </si>
  <si>
    <t>52,500,000</t>
  </si>
  <si>
    <t>6,974,582</t>
  </si>
  <si>
    <t>2.01%</t>
  </si>
  <si>
    <t>8.87%</t>
  </si>
  <si>
    <t>56.91%</t>
  </si>
  <si>
    <t>dc04-s4-02</t>
  </si>
  <si>
    <t>8,840,188,579</t>
  </si>
  <si>
    <t>5,099,950,000</t>
  </si>
  <si>
    <t>237,026,599</t>
  </si>
  <si>
    <t>144,500,000</t>
  </si>
  <si>
    <t>dc04-m2+011</t>
  </si>
  <si>
    <t>9,022,286,193</t>
  </si>
  <si>
    <t>4,774,300,000</t>
  </si>
  <si>
    <t>250,879,295</t>
  </si>
  <si>
    <t>137,250,000</t>
  </si>
  <si>
    <t>895,790</t>
  </si>
  <si>
    <t>0.36%</t>
  </si>
  <si>
    <t>4.5</t>
  </si>
  <si>
    <t>Febri Yanto Laoli</t>
  </si>
  <si>
    <t>Febri-Yanto-Laoli-D0</t>
  </si>
  <si>
    <t>85,355,398</t>
  </si>
  <si>
    <t>57,250,000</t>
  </si>
  <si>
    <t>12,350,000</t>
  </si>
  <si>
    <t>19,130,261</t>
  </si>
  <si>
    <t>22.41%</t>
  </si>
  <si>
    <t>21.83</t>
  </si>
  <si>
    <t>1.95%</t>
  </si>
  <si>
    <t>DC10-D0-009</t>
  </si>
  <si>
    <t>180,724,679</t>
  </si>
  <si>
    <t>121,500,000</t>
  </si>
  <si>
    <t>41,800,000</t>
  </si>
  <si>
    <t>64,903,419</t>
  </si>
  <si>
    <t>35.91%</t>
  </si>
  <si>
    <t>10.52</t>
  </si>
  <si>
    <t>93.33%</t>
  </si>
  <si>
    <t>Muhammad Ilyas</t>
  </si>
  <si>
    <t>MPT05-S1-3006</t>
  </si>
  <si>
    <t>289,607,889</t>
  </si>
  <si>
    <t>192,900,000</t>
  </si>
  <si>
    <t>77,998,516</t>
  </si>
  <si>
    <t>52,025,000</t>
  </si>
  <si>
    <t>11,850,000</t>
  </si>
  <si>
    <t>20,583,507</t>
  </si>
  <si>
    <t>26.39%</t>
  </si>
  <si>
    <t>16.97</t>
  </si>
  <si>
    <t>17.65%</t>
  </si>
  <si>
    <t>56.2%</t>
  </si>
  <si>
    <t>DC07-S1-030</t>
  </si>
  <si>
    <t>256,706,288</t>
  </si>
  <si>
    <t>175,825,000</t>
  </si>
  <si>
    <t>29,033,980</t>
  </si>
  <si>
    <t>19,375,000</t>
  </si>
  <si>
    <t>2,676,350</t>
  </si>
  <si>
    <t>1.04%</t>
  </si>
  <si>
    <t>9.22%</t>
  </si>
  <si>
    <t>10.82</t>
  </si>
  <si>
    <t>51.06%</t>
  </si>
  <si>
    <t>Raihana Ajeng Nabila</t>
  </si>
  <si>
    <t>Raihana-Nabila-S2</t>
  </si>
  <si>
    <t>4,159,675,919</t>
  </si>
  <si>
    <t>2,662,865,000</t>
  </si>
  <si>
    <t>82,292,797</t>
  </si>
  <si>
    <t>53,625,000</t>
  </si>
  <si>
    <t>1,575,329</t>
  </si>
  <si>
    <t>1.91%</t>
  </si>
  <si>
    <t>9.03</t>
  </si>
  <si>
    <t>13.07%</t>
  </si>
  <si>
    <t>5.28%</t>
  </si>
  <si>
    <t>MPT05-D0-023</t>
  </si>
  <si>
    <t>91,471,675</t>
  </si>
  <si>
    <t>61,475,000</t>
  </si>
  <si>
    <t>14,675,000</t>
  </si>
  <si>
    <t>24,449,387</t>
  </si>
  <si>
    <t>26.73%</t>
  </si>
  <si>
    <t>19.22</t>
  </si>
  <si>
    <t>DC09-R-005</t>
  </si>
  <si>
    <t>1,195,977,379</t>
  </si>
  <si>
    <t>804,200,000</t>
  </si>
  <si>
    <t>867,132,737</t>
  </si>
  <si>
    <t>583,000,000</t>
  </si>
  <si>
    <t>168,100,000</t>
  </si>
  <si>
    <t>375,654,186</t>
  </si>
  <si>
    <t>31.41%</t>
  </si>
  <si>
    <t>43.32%</t>
  </si>
  <si>
    <t>0.91%</t>
  </si>
  <si>
    <t>61.11%</t>
  </si>
  <si>
    <t>56</t>
  </si>
  <si>
    <t>MPT05-D0-016</t>
  </si>
  <si>
    <t>96,219,538</t>
  </si>
  <si>
    <t>64,625,000</t>
  </si>
  <si>
    <t>29,050,000</t>
  </si>
  <si>
    <t>43,258,153</t>
  </si>
  <si>
    <t>2.08%</t>
  </si>
  <si>
    <t>97.87%</t>
  </si>
  <si>
    <t>95.74%</t>
  </si>
  <si>
    <t>Raditya Azril Reyvansah</t>
  </si>
  <si>
    <t>Raditya-Reyvansah-S1</t>
  </si>
  <si>
    <t>343,010,298</t>
  </si>
  <si>
    <t>227,150,000</t>
  </si>
  <si>
    <t>82,144,173</t>
  </si>
  <si>
    <t>54,850,000</t>
  </si>
  <si>
    <t>8,888,719</t>
  </si>
  <si>
    <t>2.59%</t>
  </si>
  <si>
    <t>10.82%</t>
  </si>
  <si>
    <t>54.92%</t>
  </si>
  <si>
    <t>31.09%</t>
  </si>
  <si>
    <t>MPT05-D0-006</t>
  </si>
  <si>
    <t>105,344,547</t>
  </si>
  <si>
    <t>70,725,000</t>
  </si>
  <si>
    <t>6,350,000</t>
  </si>
  <si>
    <t>12,449,678</t>
  </si>
  <si>
    <t>11.82%</t>
  </si>
  <si>
    <t>26.17</t>
  </si>
  <si>
    <t>102.22%</t>
  </si>
  <si>
    <t>dc01-m2-001</t>
  </si>
  <si>
    <t>3,209,780,968</t>
  </si>
  <si>
    <t>1,910,295,000</t>
  </si>
  <si>
    <t>208,651,624</t>
  </si>
  <si>
    <t>127,225,000</t>
  </si>
  <si>
    <t>13,959,630</t>
  </si>
  <si>
    <t>6.69%</t>
  </si>
  <si>
    <t>16.42</t>
  </si>
  <si>
    <t>176</t>
  </si>
  <si>
    <t>Muhammad Ricky Ihza Albanteni</t>
  </si>
  <si>
    <t>Muhammad-Ricky-R</t>
  </si>
  <si>
    <t>287,578,448</t>
  </si>
  <si>
    <t>193,375,000</t>
  </si>
  <si>
    <t>183,821,616</t>
  </si>
  <si>
    <t>123,675,000</t>
  </si>
  <si>
    <t>86,464,175</t>
  </si>
  <si>
    <t>47.04%</t>
  </si>
  <si>
    <t>9.75%</t>
  </si>
  <si>
    <t>77.48%</t>
  </si>
  <si>
    <t>MPT05-S1-020</t>
  </si>
  <si>
    <t>330,167,721</t>
  </si>
  <si>
    <t>219,550,000</t>
  </si>
  <si>
    <t>74,632,451</t>
  </si>
  <si>
    <t>49,700,000</t>
  </si>
  <si>
    <t>4,100,000</t>
  </si>
  <si>
    <t>12,880,528</t>
  </si>
  <si>
    <t>3.9%</t>
  </si>
  <si>
    <t>17.26%</t>
  </si>
  <si>
    <t>18.27</t>
  </si>
  <si>
    <t>35.75%</t>
  </si>
  <si>
    <t>59.42%</t>
  </si>
  <si>
    <t>DC07-R-0028</t>
  </si>
  <si>
    <t>302,575,485</t>
  </si>
  <si>
    <t>203,075,000</t>
  </si>
  <si>
    <t>165,951,293</t>
  </si>
  <si>
    <t>111,375,000</t>
  </si>
  <si>
    <t>24,025,000</t>
  </si>
  <si>
    <t>44,455,839</t>
  </si>
  <si>
    <t>14.69%</t>
  </si>
  <si>
    <t>26.79%</t>
  </si>
  <si>
    <t>20.18</t>
  </si>
  <si>
    <t>77.08%</t>
  </si>
  <si>
    <t>DC07-R-054</t>
  </si>
  <si>
    <t>160,425,299</t>
  </si>
  <si>
    <t>107,600,000</t>
  </si>
  <si>
    <t>59,650,903</t>
  </si>
  <si>
    <t>40,000,000</t>
  </si>
  <si>
    <t>15,400,000</t>
  </si>
  <si>
    <t>31,617,134</t>
  </si>
  <si>
    <t>19.71%</t>
  </si>
  <si>
    <t>53%</t>
  </si>
  <si>
    <t>11.02</t>
  </si>
  <si>
    <t>69.32%</t>
  </si>
  <si>
    <t>MPT05-S1-3004</t>
  </si>
  <si>
    <t>240,416,876</t>
  </si>
  <si>
    <t>159,490,000</t>
  </si>
  <si>
    <t>75,697,903</t>
  </si>
  <si>
    <t>50,500,000</t>
  </si>
  <si>
    <t>10,993,860</t>
  </si>
  <si>
    <t>4.57%</t>
  </si>
  <si>
    <t>14.52%</t>
  </si>
  <si>
    <t>18.03</t>
  </si>
  <si>
    <t>8.9%</t>
  </si>
  <si>
    <t>PUTRI HANDAYANI KOKO</t>
  </si>
  <si>
    <t>DC06-S2-005</t>
  </si>
  <si>
    <t>3,761,159,821</t>
  </si>
  <si>
    <t>2,411,055,000</t>
  </si>
  <si>
    <t>195,569,937</t>
  </si>
  <si>
    <t>151,305</t>
  </si>
  <si>
    <t>4,808,694</t>
  </si>
  <si>
    <t>2.46%</t>
  </si>
  <si>
    <t>Samrotun Muawanah</t>
  </si>
  <si>
    <t>Samrotun-Muawanah-D0</t>
  </si>
  <si>
    <t>40,588,391</t>
  </si>
  <si>
    <t>27,225,000</t>
  </si>
  <si>
    <t>14,679,007</t>
  </si>
  <si>
    <t>36.17%</t>
  </si>
  <si>
    <t>9.57</t>
  </si>
  <si>
    <t>16.13%</t>
  </si>
  <si>
    <t>DC09-R-006</t>
  </si>
  <si>
    <t>1,310,485,921</t>
  </si>
  <si>
    <t>881,350,000</t>
  </si>
  <si>
    <t>903,256,779</t>
  </si>
  <si>
    <t>607,500,000</t>
  </si>
  <si>
    <t>284,800,000</t>
  </si>
  <si>
    <t>605,073,003</t>
  </si>
  <si>
    <t>46.17%</t>
  </si>
  <si>
    <t>66.99%</t>
  </si>
  <si>
    <t>22.43</t>
  </si>
  <si>
    <t>20.46%</t>
  </si>
  <si>
    <t>70.83%</t>
  </si>
  <si>
    <t>83.33%</t>
  </si>
  <si>
    <t>DC13-D0-004</t>
  </si>
  <si>
    <t>408,304,545</t>
  </si>
  <si>
    <t>274,500,000</t>
  </si>
  <si>
    <t>59,100,000</t>
  </si>
  <si>
    <t>116,349,174</t>
  </si>
  <si>
    <t>28.5%</t>
  </si>
  <si>
    <t>Ega Stinka</t>
  </si>
  <si>
    <t>Ega-Stinka-D0</t>
  </si>
  <si>
    <t>37,458,809</t>
  </si>
  <si>
    <t>25,150,000</t>
  </si>
  <si>
    <t>8,550,000</t>
  </si>
  <si>
    <t>12,635,525</t>
  </si>
  <si>
    <t>33.73%</t>
  </si>
  <si>
    <t>16.18%</t>
  </si>
  <si>
    <t>DC07-S1-056</t>
  </si>
  <si>
    <t>297,021,936</t>
  </si>
  <si>
    <t>196,550,000</t>
  </si>
  <si>
    <t>70,846,367</t>
  </si>
  <si>
    <t>47,200,000</t>
  </si>
  <si>
    <t>2,450,000</t>
  </si>
  <si>
    <t>10,944,588</t>
  </si>
  <si>
    <t>3.68%</t>
  </si>
  <si>
    <t>15.45%</t>
  </si>
  <si>
    <t>21.12</t>
  </si>
  <si>
    <t>21.19%</t>
  </si>
  <si>
    <t>Hari Mukti</t>
  </si>
  <si>
    <t>MPT05-S1-3008</t>
  </si>
  <si>
    <t>183,659,861</t>
  </si>
  <si>
    <t>122,550,000</t>
  </si>
  <si>
    <t>67,639,232</t>
  </si>
  <si>
    <t>45,375,000</t>
  </si>
  <si>
    <t>4,743,552</t>
  </si>
  <si>
    <t>2.58%</t>
  </si>
  <si>
    <t>7.01%</t>
  </si>
  <si>
    <t>20.03</t>
  </si>
  <si>
    <t>3.7%</t>
  </si>
  <si>
    <t>24.73%</t>
  </si>
  <si>
    <t>IN-D0-001</t>
  </si>
  <si>
    <t>17,701,788</t>
  </si>
  <si>
    <t>14,430,000</t>
  </si>
  <si>
    <t>6,240,000</t>
  </si>
  <si>
    <t>7,873,098</t>
  </si>
  <si>
    <t>44.48%</t>
  </si>
  <si>
    <t>19.92</t>
  </si>
  <si>
    <t>7.08%</t>
  </si>
  <si>
    <t>DC04-M2-0003</t>
  </si>
  <si>
    <t>7,121,871,610</t>
  </si>
  <si>
    <t>4,162,875,000</t>
  </si>
  <si>
    <t>245,751,277</t>
  </si>
  <si>
    <t>150,325,000</t>
  </si>
  <si>
    <t>12,014,496</t>
  </si>
  <si>
    <t>0.17%</t>
  </si>
  <si>
    <t>4.89%</t>
  </si>
  <si>
    <t>AYU JULISTIKA</t>
  </si>
  <si>
    <t>DC06-S1-07</t>
  </si>
  <si>
    <t>344,426,794</t>
  </si>
  <si>
    <t>227,500,000</t>
  </si>
  <si>
    <t>73,893,738</t>
  </si>
  <si>
    <t>49,150,000</t>
  </si>
  <si>
    <t>1,550,000</t>
  </si>
  <si>
    <t>9,776,887</t>
  </si>
  <si>
    <t>2.84%</t>
  </si>
  <si>
    <t>13.23%</t>
  </si>
  <si>
    <t>58.41%</t>
  </si>
  <si>
    <t>Maya Nursafitri</t>
  </si>
  <si>
    <t>Maya-Nursafitri-R</t>
  </si>
  <si>
    <t>227,654,014</t>
  </si>
  <si>
    <t>152,675,000</t>
  </si>
  <si>
    <t>141,354,916</t>
  </si>
  <si>
    <t>94,825,000</t>
  </si>
  <si>
    <t>53,888,015</t>
  </si>
  <si>
    <t>23.67%</t>
  </si>
  <si>
    <t>38.12%</t>
  </si>
  <si>
    <t>4.87%</t>
  </si>
  <si>
    <t>74.77%</t>
  </si>
  <si>
    <t>Roni Sianturi</t>
  </si>
  <si>
    <t>Roni-Sianturi-R</t>
  </si>
  <si>
    <t>216,613,096</t>
  </si>
  <si>
    <t>145,575,000</t>
  </si>
  <si>
    <t>88,454,195</t>
  </si>
  <si>
    <t>59,400,000</t>
  </si>
  <si>
    <t>13,891,010</t>
  </si>
  <si>
    <t>6.41%</t>
  </si>
  <si>
    <t>15.7%</t>
  </si>
  <si>
    <t>9.83</t>
  </si>
  <si>
    <t>4.81%</t>
  </si>
  <si>
    <t>63.81%</t>
  </si>
  <si>
    <t>DC07-R NL-005</t>
  </si>
  <si>
    <t>152,093,095</t>
  </si>
  <si>
    <t>102,125,000</t>
  </si>
  <si>
    <t>96,823,479</t>
  </si>
  <si>
    <t>64,975,000</t>
  </si>
  <si>
    <t>24,792,213</t>
  </si>
  <si>
    <t>16.3%</t>
  </si>
  <si>
    <t>25.61%</t>
  </si>
  <si>
    <t>55.42%</t>
  </si>
  <si>
    <t>DC07-S1-042</t>
  </si>
  <si>
    <t>100,360,522</t>
  </si>
  <si>
    <t>66,600,000</t>
  </si>
  <si>
    <t>60,135,608</t>
  </si>
  <si>
    <t>40,075,000</t>
  </si>
  <si>
    <t>6,748,517</t>
  </si>
  <si>
    <t>11.22%</t>
  </si>
  <si>
    <t>32.26%</t>
  </si>
  <si>
    <t>DC07-S0-026</t>
  </si>
  <si>
    <t>70,600,321</t>
  </si>
  <si>
    <t>47,350,000</t>
  </si>
  <si>
    <t>12,850,000</t>
  </si>
  <si>
    <t>22,071,980</t>
  </si>
  <si>
    <t>17.55</t>
  </si>
  <si>
    <t>90%</t>
  </si>
  <si>
    <t>DC10-S1-007</t>
  </si>
  <si>
    <t>1,428,104,810</t>
  </si>
  <si>
    <t>966,600,000</t>
  </si>
  <si>
    <t>252,368,309</t>
  </si>
  <si>
    <t>169,200,000</t>
  </si>
  <si>
    <t>7,686,726</t>
  </si>
  <si>
    <t>3.05%</t>
  </si>
  <si>
    <t>21.65</t>
  </si>
  <si>
    <t>58.65%</t>
  </si>
  <si>
    <t>Tresno Adithya Putra</t>
  </si>
  <si>
    <t>Tresno Adithya Putra-R</t>
  </si>
  <si>
    <t>218,232,971</t>
  </si>
  <si>
    <t>146,675,000</t>
  </si>
  <si>
    <t>83,289,319</t>
  </si>
  <si>
    <t>10,350,000</t>
  </si>
  <si>
    <t>50,861,693</t>
  </si>
  <si>
    <t>23.31%</t>
  </si>
  <si>
    <t>61.07%</t>
  </si>
  <si>
    <t>2.12%</t>
  </si>
  <si>
    <t>59.43%</t>
  </si>
  <si>
    <t>52.83%</t>
  </si>
  <si>
    <t>DC07-R-0031</t>
  </si>
  <si>
    <t>257,285,785</t>
  </si>
  <si>
    <t>173,725,000</t>
  </si>
  <si>
    <t>177,636,033</t>
  </si>
  <si>
    <t>119,325,000</t>
  </si>
  <si>
    <t>29,350,000</t>
  </si>
  <si>
    <t>53,845,130</t>
  </si>
  <si>
    <t>20.93%</t>
  </si>
  <si>
    <t>30.31%</t>
  </si>
  <si>
    <t>20.68</t>
  </si>
  <si>
    <t>77.6%</t>
  </si>
  <si>
    <t>DC07-R-010</t>
  </si>
  <si>
    <t>105,760,091</t>
  </si>
  <si>
    <t>70,950,000</t>
  </si>
  <si>
    <t>65,970,491</t>
  </si>
  <si>
    <t>44,225,000</t>
  </si>
  <si>
    <t>7,550,000</t>
  </si>
  <si>
    <t>21,532,083</t>
  </si>
  <si>
    <t>20.36%</t>
  </si>
  <si>
    <t>32.64%</t>
  </si>
  <si>
    <t>9.62</t>
  </si>
  <si>
    <t>57.33%</t>
  </si>
  <si>
    <t>DC09-D0-005</t>
  </si>
  <si>
    <t>215,212,166</t>
  </si>
  <si>
    <t>144,900,000</t>
  </si>
  <si>
    <t>59,622,117</t>
  </si>
  <si>
    <t>27.7%</t>
  </si>
  <si>
    <t>14.45</t>
  </si>
  <si>
    <t>94.44%</t>
  </si>
  <si>
    <t>BRAILEY ALAMSYAH LINGGA KUSUMA</t>
  </si>
  <si>
    <t>dc06-s4-003</t>
  </si>
  <si>
    <t>8,446,160,578</t>
  </si>
  <si>
    <t>4,869,850,000</t>
  </si>
  <si>
    <t>312,266,191</t>
  </si>
  <si>
    <t>190,450,000</t>
  </si>
  <si>
    <t>7.2</t>
  </si>
  <si>
    <t>DC07-D0-029</t>
  </si>
  <si>
    <t>34,170,417</t>
  </si>
  <si>
    <t>22,925,000</t>
  </si>
  <si>
    <t>12,682,165</t>
  </si>
  <si>
    <t>37.11%</t>
  </si>
  <si>
    <t>8.73</t>
  </si>
  <si>
    <t>DC07-D0 NL-006</t>
  </si>
  <si>
    <t>97,073,303</t>
  </si>
  <si>
    <t>65,175,000</t>
  </si>
  <si>
    <t>22,900,000</t>
  </si>
  <si>
    <t>33,605,064</t>
  </si>
  <si>
    <t>29.25</t>
  </si>
  <si>
    <t>95.16%</t>
  </si>
  <si>
    <t>DC07-R-064</t>
  </si>
  <si>
    <t>257,590,165</t>
  </si>
  <si>
    <t>172,800,000</t>
  </si>
  <si>
    <t>148,997,395</t>
  </si>
  <si>
    <t>99,950,000</t>
  </si>
  <si>
    <t>61,244,901</t>
  </si>
  <si>
    <t>23.78%</t>
  </si>
  <si>
    <t>41.1%</t>
  </si>
  <si>
    <t>53.39%</t>
  </si>
  <si>
    <t>MPT05-S1-046</t>
  </si>
  <si>
    <t>444,907,837</t>
  </si>
  <si>
    <t>296,425,000</t>
  </si>
  <si>
    <t>47,784,427</t>
  </si>
  <si>
    <t>31,800,000</t>
  </si>
  <si>
    <t>18,044,509</t>
  </si>
  <si>
    <t>37.76%</t>
  </si>
  <si>
    <t>53.81%</t>
  </si>
  <si>
    <t>54.29%</t>
  </si>
  <si>
    <t>dc01-s2-6</t>
  </si>
  <si>
    <t>4,550,137,612</t>
  </si>
  <si>
    <t>2,915,080,000</t>
  </si>
  <si>
    <t>153,603,008</t>
  </si>
  <si>
    <t>100,000,000</t>
  </si>
  <si>
    <t>20,774,903</t>
  </si>
  <si>
    <t>13.53%</t>
  </si>
  <si>
    <t>15.03</t>
  </si>
  <si>
    <t>DC09-R-003</t>
  </si>
  <si>
    <t>1,438,002,818</t>
  </si>
  <si>
    <t>967,550,000</t>
  </si>
  <si>
    <t>896,391,695</t>
  </si>
  <si>
    <t>603,000,000</t>
  </si>
  <si>
    <t>170,100,000</t>
  </si>
  <si>
    <t>473,791,123</t>
  </si>
  <si>
    <t>32.95%</t>
  </si>
  <si>
    <t>52.86%</t>
  </si>
  <si>
    <t>1.35%</t>
  </si>
  <si>
    <t>71.43%</t>
  </si>
  <si>
    <t>76.19%</t>
  </si>
  <si>
    <t>Dira Irania</t>
  </si>
  <si>
    <t>Dira-Irania-D0</t>
  </si>
  <si>
    <t>44,123,787</t>
  </si>
  <si>
    <t>29,600,000</t>
  </si>
  <si>
    <t>9,051,688</t>
  </si>
  <si>
    <t>20.51%</t>
  </si>
  <si>
    <t>DC09-D0-001</t>
  </si>
  <si>
    <t>398,950,442</t>
  </si>
  <si>
    <t>268,200,000</t>
  </si>
  <si>
    <t>103,000,000</t>
  </si>
  <si>
    <t>156,158,532</t>
  </si>
  <si>
    <t>39.14%</t>
  </si>
  <si>
    <t>93.94%</t>
  </si>
  <si>
    <t>ALMAIDA</t>
  </si>
  <si>
    <t>DC06-S2-015</t>
  </si>
  <si>
    <t>4,211,556,933</t>
  </si>
  <si>
    <t>2,672,600,000</t>
  </si>
  <si>
    <t>151,218,263</t>
  </si>
  <si>
    <t>98,425,000</t>
  </si>
  <si>
    <t>64,995,628</t>
  </si>
  <si>
    <t>1.54%</t>
  </si>
  <si>
    <t>42.98%</t>
  </si>
  <si>
    <t>4.9</t>
  </si>
  <si>
    <t>HERDI KURNIAWAN</t>
  </si>
  <si>
    <t>DC06-S2-013</t>
  </si>
  <si>
    <t>4,439,729,235</t>
  </si>
  <si>
    <t>2,839,575,000</t>
  </si>
  <si>
    <t>192,341,657</t>
  </si>
  <si>
    <t>125,145,000</t>
  </si>
  <si>
    <t>8,313,213</t>
  </si>
  <si>
    <t>19.33</t>
  </si>
  <si>
    <t>Ama Joenior Kana</t>
  </si>
  <si>
    <t>DC06-S1-03</t>
  </si>
  <si>
    <t>379,637,499</t>
  </si>
  <si>
    <t>251,125,000</t>
  </si>
  <si>
    <t>70,679,200</t>
  </si>
  <si>
    <t>10,487,710</t>
  </si>
  <si>
    <t>14.84%</t>
  </si>
  <si>
    <t>56.71%</t>
  </si>
  <si>
    <t>DC12-D0-001</t>
  </si>
  <si>
    <t>364,109,587</t>
  </si>
  <si>
    <t>244,800,000</t>
  </si>
  <si>
    <t>55,700,000</t>
  </si>
  <si>
    <t>97,349,538</t>
  </si>
  <si>
    <t>26.74%</t>
  </si>
  <si>
    <t>18.47</t>
  </si>
  <si>
    <t>79.41%</t>
  </si>
  <si>
    <t>DC07-S0-012</t>
  </si>
  <si>
    <t>110,688,728</t>
  </si>
  <si>
    <t>74,350,000</t>
  </si>
  <si>
    <t>21,400,000</t>
  </si>
  <si>
    <t>33,693,903</t>
  </si>
  <si>
    <t>30.44%</t>
  </si>
  <si>
    <t>17.98</t>
  </si>
  <si>
    <t>DC07-R-071</t>
  </si>
  <si>
    <t>136,287,887</t>
  </si>
  <si>
    <t>91,525,000</t>
  </si>
  <si>
    <t>67,181,268</t>
  </si>
  <si>
    <t>45,075,000</t>
  </si>
  <si>
    <t>15,398,555</t>
  </si>
  <si>
    <t>11.3%</t>
  </si>
  <si>
    <t>22.92%</t>
  </si>
  <si>
    <t>56.36%</t>
  </si>
  <si>
    <t>Naufal Habilillah</t>
  </si>
  <si>
    <t>MPT05-D0-2002</t>
  </si>
  <si>
    <t>72,194,912</t>
  </si>
  <si>
    <t>48,425,000</t>
  </si>
  <si>
    <t>24,562,251</t>
  </si>
  <si>
    <t>34.02%</t>
  </si>
  <si>
    <t>14.63</t>
  </si>
  <si>
    <t>89.19%</t>
  </si>
  <si>
    <t>DC07-R-062</t>
  </si>
  <si>
    <t>278,350,393</t>
  </si>
  <si>
    <t>186,850,000</t>
  </si>
  <si>
    <t>166,342,774</t>
  </si>
  <si>
    <t>111,725,000</t>
  </si>
  <si>
    <t>28,600,000</t>
  </si>
  <si>
    <t>62,100,751</t>
  </si>
  <si>
    <t>22.31%</t>
  </si>
  <si>
    <t>37.33%</t>
  </si>
  <si>
    <t>11.93</t>
  </si>
  <si>
    <t>77.59%</t>
  </si>
  <si>
    <t>Yolla Putri Hutami</t>
  </si>
  <si>
    <t>Yolla-Putri-Hutami-S1</t>
  </si>
  <si>
    <t>219,547,841</t>
  </si>
  <si>
    <t>145,175,000</t>
  </si>
  <si>
    <t>32,103,323</t>
  </si>
  <si>
    <t>21,450,000</t>
  </si>
  <si>
    <t>2,150,000</t>
  </si>
  <si>
    <t>4,584,682</t>
  </si>
  <si>
    <t>14.28%</t>
  </si>
  <si>
    <t>4.83</t>
  </si>
  <si>
    <t>0.96%</t>
  </si>
  <si>
    <t>37.91%</t>
  </si>
  <si>
    <t>DC07-D0-031</t>
  </si>
  <si>
    <t>78,218,175</t>
  </si>
  <si>
    <t>52,475,000</t>
  </si>
  <si>
    <t>16,500,000</t>
  </si>
  <si>
    <t>27,823,537</t>
  </si>
  <si>
    <t>35.57%</t>
  </si>
  <si>
    <t>MPT05-S1-021</t>
  </si>
  <si>
    <t>320,921,438</t>
  </si>
  <si>
    <t>211,975,000</t>
  </si>
  <si>
    <t>73,292,347</t>
  </si>
  <si>
    <t>48,750,000</t>
  </si>
  <si>
    <t>5,100,000</t>
  </si>
  <si>
    <t>12,434,786</t>
  </si>
  <si>
    <t>3.87%</t>
  </si>
  <si>
    <t>16.97%</t>
  </si>
  <si>
    <t>22.68</t>
  </si>
  <si>
    <t>60.64%</t>
  </si>
  <si>
    <t>dc01-s2-32</t>
  </si>
  <si>
    <t>2,369,289,284</t>
  </si>
  <si>
    <t>1,528,575,000</t>
  </si>
  <si>
    <t>143,404,420</t>
  </si>
  <si>
    <t>93,325,000</t>
  </si>
  <si>
    <t>0.35%</t>
  </si>
  <si>
    <t>5.43</t>
  </si>
  <si>
    <t>AMALIA NUR HASSANAH</t>
  </si>
  <si>
    <t>dc06-M2+003</t>
  </si>
  <si>
    <t>9,330,826,233</t>
  </si>
  <si>
    <t>4,944,375,000</t>
  </si>
  <si>
    <t>261,598,547</t>
  </si>
  <si>
    <t>143,375,000</t>
  </si>
  <si>
    <t>11.42</t>
  </si>
  <si>
    <t>MPT05-S1-066</t>
  </si>
  <si>
    <t>285,889,413</t>
  </si>
  <si>
    <t>188,875,000</t>
  </si>
  <si>
    <t>79,656,557</t>
  </si>
  <si>
    <t>53,050,000</t>
  </si>
  <si>
    <t>18,399,129</t>
  </si>
  <si>
    <t>6.44%</t>
  </si>
  <si>
    <t>23.1%</t>
  </si>
  <si>
    <t>14.47</t>
  </si>
  <si>
    <t>13.91%</t>
  </si>
  <si>
    <t>60.82%</t>
  </si>
  <si>
    <t>57.22%</t>
  </si>
  <si>
    <t>DC07-S0-015</t>
  </si>
  <si>
    <t>38,067,820</t>
  </si>
  <si>
    <t>25,550,000</t>
  </si>
  <si>
    <t>10,900,000</t>
  </si>
  <si>
    <t>17,024,997</t>
  </si>
  <si>
    <t>44.72%</t>
  </si>
  <si>
    <t>8.93</t>
  </si>
  <si>
    <t>MPT05-S1-019</t>
  </si>
  <si>
    <t>305,321,316</t>
  </si>
  <si>
    <t>202,125,000</t>
  </si>
  <si>
    <t>73,857,747</t>
  </si>
  <si>
    <t>3,657,773</t>
  </si>
  <si>
    <t>1.2%</t>
  </si>
  <si>
    <t>1.37%</t>
  </si>
  <si>
    <t>12.37%</t>
  </si>
  <si>
    <t>58.6%</t>
  </si>
  <si>
    <t>DC10-D0-013</t>
  </si>
  <si>
    <t>382,555,690</t>
  </si>
  <si>
    <t>257,400,000</t>
  </si>
  <si>
    <t>23,900,000</t>
  </si>
  <si>
    <t>55,649,172</t>
  </si>
  <si>
    <t>14.55%</t>
  </si>
  <si>
    <t>Yosef Jupriyanto</t>
  </si>
  <si>
    <t>Yosef-Jupriyanto-R</t>
  </si>
  <si>
    <t>257,772,650</t>
  </si>
  <si>
    <t>173,050,000</t>
  </si>
  <si>
    <t>151,900,922</t>
  </si>
  <si>
    <t>101,975,000</t>
  </si>
  <si>
    <t>40,161,269</t>
  </si>
  <si>
    <t>15.58%</t>
  </si>
  <si>
    <t>26.44%</t>
  </si>
  <si>
    <t>1.25%</t>
  </si>
  <si>
    <t>74.67%</t>
  </si>
  <si>
    <t>MPT05-D0-003</t>
  </si>
  <si>
    <t>91,378,318</t>
  </si>
  <si>
    <t>61,350,000</t>
  </si>
  <si>
    <t>9,550,000</t>
  </si>
  <si>
    <t>15,812,566</t>
  </si>
  <si>
    <t>17.3%</t>
  </si>
  <si>
    <t>18.05</t>
  </si>
  <si>
    <t>2.48%</t>
  </si>
  <si>
    <t>92.16%</t>
  </si>
  <si>
    <t>412</t>
  </si>
  <si>
    <t>DC07-S1-017</t>
  </si>
  <si>
    <t>354,895,519</t>
  </si>
  <si>
    <t>234,525,000</t>
  </si>
  <si>
    <t>51,532,701</t>
  </si>
  <si>
    <t>34,350,000</t>
  </si>
  <si>
    <t>3,862,891</t>
  </si>
  <si>
    <t>7.5%</t>
  </si>
  <si>
    <t>53.49%</t>
  </si>
  <si>
    <t>MPT05-S1-022</t>
  </si>
  <si>
    <t>398,362,099</t>
  </si>
  <si>
    <t>263,275,000</t>
  </si>
  <si>
    <t>97,287,058</t>
  </si>
  <si>
    <t>64,750,000</t>
  </si>
  <si>
    <t>10,421,530</t>
  </si>
  <si>
    <t>2.62%</t>
  </si>
  <si>
    <t>10.71%</t>
  </si>
  <si>
    <t>21.67</t>
  </si>
  <si>
    <t>2.89%</t>
  </si>
  <si>
    <t>45.11%</t>
  </si>
  <si>
    <t>57.45%</t>
  </si>
  <si>
    <t>dc01-m2-004</t>
  </si>
  <si>
    <t>3,691,458,658</t>
  </si>
  <si>
    <t>2,201,770,000</t>
  </si>
  <si>
    <t>283,345,993</t>
  </si>
  <si>
    <t>173,925,000</t>
  </si>
  <si>
    <t>43,199</t>
  </si>
  <si>
    <t>11.62</t>
  </si>
  <si>
    <t>EDIANA GRADIA</t>
  </si>
  <si>
    <t>dc06-s4-002</t>
  </si>
  <si>
    <t>8,196,623,516</t>
  </si>
  <si>
    <t>4,761,700,000</t>
  </si>
  <si>
    <t>198,414,046</t>
  </si>
  <si>
    <t>747,244</t>
  </si>
  <si>
    <t>8.02</t>
  </si>
  <si>
    <t>dc04-s4-09</t>
  </si>
  <si>
    <t>8,851,876,520</t>
  </si>
  <si>
    <t>5,093,535,000</t>
  </si>
  <si>
    <t>196,841,552</t>
  </si>
  <si>
    <t>120,025,000</t>
  </si>
  <si>
    <t>6,229,367</t>
  </si>
  <si>
    <t>3.16%</t>
  </si>
  <si>
    <t>Yasya Arrahman</t>
  </si>
  <si>
    <t>Yasya-Arrahman-S1</t>
  </si>
  <si>
    <t>274,527,139</t>
  </si>
  <si>
    <t>182,700,000</t>
  </si>
  <si>
    <t>62,826,182</t>
  </si>
  <si>
    <t>41,775,000</t>
  </si>
  <si>
    <t>7,650,000</t>
  </si>
  <si>
    <t>21,620,746</t>
  </si>
  <si>
    <t>7.88%</t>
  </si>
  <si>
    <t>34.41%</t>
  </si>
  <si>
    <t>11.9</t>
  </si>
  <si>
    <t>61.39%</t>
  </si>
  <si>
    <t>dc04-s4-05</t>
  </si>
  <si>
    <t>8,260,687,946</t>
  </si>
  <si>
    <t>4,778,895,000</t>
  </si>
  <si>
    <t>198,430,959</t>
  </si>
  <si>
    <t>120,975,000</t>
  </si>
  <si>
    <t>6,816,888</t>
  </si>
  <si>
    <t>11.4</t>
  </si>
  <si>
    <t>Elvira Amanda</t>
  </si>
  <si>
    <t>Elvira-Amanda-R</t>
  </si>
  <si>
    <t>262,997,597</t>
  </si>
  <si>
    <t>180,025,000</t>
  </si>
  <si>
    <t>150,966,649</t>
  </si>
  <si>
    <t>101,250,000</t>
  </si>
  <si>
    <t>61,391,964</t>
  </si>
  <si>
    <t>23.34%</t>
  </si>
  <si>
    <t>40.67%</t>
  </si>
  <si>
    <t>19.2</t>
  </si>
  <si>
    <t>0.92%</t>
  </si>
  <si>
    <t>67.11%</t>
  </si>
  <si>
    <t>72.37%</t>
  </si>
  <si>
    <t>Maya</t>
  </si>
  <si>
    <t>Maya-D0</t>
  </si>
  <si>
    <t>100,296,202</t>
  </si>
  <si>
    <t>67,350,000</t>
  </si>
  <si>
    <t>13,000,000</t>
  </si>
  <si>
    <t>28,962,823</t>
  </si>
  <si>
    <t>28.88%</t>
  </si>
  <si>
    <t>21.38</t>
  </si>
  <si>
    <t>98.25%</t>
  </si>
  <si>
    <t>MPT05-D0-028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</si>
</sst>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4"/>
  <sheetViews>
    <sheetView tabSelected="1" topLeftCell="A20" workbookViewId="0">
      <selection activeCell="A73" sqref="A73"/>
    </sheetView>
  </sheetViews>
  <sheetFormatPr baseColWidth="10" defaultRowHeight="16" x14ac:dyDescent="0.2"/>
  <cols>
    <col min="1" max="1" width="33.33203125" bestFit="1" customWidth="1"/>
    <col min="2" max="2" width="28" bestFit="1" customWidth="1"/>
    <col min="3" max="3" width="19.5" bestFit="1" customWidth="1"/>
    <col min="4" max="4" width="24.5" bestFit="1" customWidth="1"/>
    <col min="5" max="5" width="16.33203125" bestFit="1" customWidth="1"/>
    <col min="6" max="6" width="17.1640625" bestFit="1" customWidth="1"/>
    <col min="7" max="7" width="25.6640625" bestFit="1" customWidth="1"/>
    <col min="8" max="8" width="35.83203125" bestFit="1" customWidth="1"/>
    <col min="9" max="9" width="18.83203125" bestFit="1" customWidth="1"/>
    <col min="10" max="10" width="24.83203125" bestFit="1" customWidth="1"/>
    <col min="11" max="11" width="31.83203125" bestFit="1" customWidth="1"/>
    <col min="12" max="12" width="39" bestFit="1" customWidth="1"/>
    <col min="13" max="13" width="18" bestFit="1" customWidth="1"/>
    <col min="14" max="14" width="25.5" bestFit="1" customWidth="1"/>
    <col min="15" max="16" width="22.1640625" bestFit="1" customWidth="1"/>
    <col min="17" max="17" width="29.6640625" bestFit="1" customWidth="1"/>
    <col min="18" max="18" width="27.6640625" bestFit="1" customWidth="1"/>
    <col min="19" max="19" width="13.6640625" bestFit="1" customWidth="1"/>
    <col min="20" max="20" width="23.1640625" bestFit="1" customWidth="1"/>
    <col min="21" max="21" width="34" bestFit="1" customWidth="1"/>
    <col min="22" max="22" width="27.1640625" bestFit="1" customWidth="1"/>
    <col min="23" max="23" width="27" bestFit="1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2">
      <c r="A2" t="s">
        <v>23</v>
      </c>
      <c r="B2" t="s">
        <v>23</v>
      </c>
      <c r="C2">
        <v>17</v>
      </c>
      <c r="D2">
        <v>17</v>
      </c>
      <c r="E2" t="s">
        <v>24</v>
      </c>
      <c r="F2" t="s">
        <v>25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28</v>
      </c>
      <c r="M2">
        <v>0</v>
      </c>
      <c r="N2">
        <v>0</v>
      </c>
      <c r="O2">
        <v>0</v>
      </c>
      <c r="P2" t="s">
        <v>29</v>
      </c>
      <c r="Q2" t="s">
        <v>30</v>
      </c>
      <c r="R2" t="s">
        <v>30</v>
      </c>
      <c r="S2">
        <v>44</v>
      </c>
      <c r="T2" t="s">
        <v>31</v>
      </c>
      <c r="U2" t="s">
        <v>32</v>
      </c>
      <c r="V2" t="s">
        <v>32</v>
      </c>
      <c r="W2" t="s">
        <v>32</v>
      </c>
    </row>
    <row r="3" spans="1:23" x14ac:dyDescent="0.2">
      <c r="A3" t="s">
        <v>33</v>
      </c>
      <c r="B3" t="s">
        <v>34</v>
      </c>
      <c r="C3">
        <v>38</v>
      </c>
      <c r="D3">
        <v>38</v>
      </c>
      <c r="E3" t="s">
        <v>35</v>
      </c>
      <c r="F3" t="s">
        <v>36</v>
      </c>
      <c r="G3" t="s">
        <v>35</v>
      </c>
      <c r="H3" t="s">
        <v>36</v>
      </c>
      <c r="I3" t="s">
        <v>37</v>
      </c>
      <c r="J3" t="s">
        <v>38</v>
      </c>
      <c r="K3" t="s">
        <v>39</v>
      </c>
      <c r="L3" t="s">
        <v>39</v>
      </c>
      <c r="M3">
        <v>459</v>
      </c>
      <c r="N3">
        <v>32</v>
      </c>
      <c r="O3">
        <v>3.3</v>
      </c>
      <c r="P3" t="s">
        <v>40</v>
      </c>
      <c r="Q3" t="s">
        <v>41</v>
      </c>
      <c r="R3" t="s">
        <v>42</v>
      </c>
      <c r="S3">
        <v>118</v>
      </c>
      <c r="T3" t="s">
        <v>42</v>
      </c>
      <c r="U3" t="s">
        <v>32</v>
      </c>
      <c r="V3" t="s">
        <v>32</v>
      </c>
      <c r="W3" t="s">
        <v>32</v>
      </c>
    </row>
    <row r="4" spans="1:23" x14ac:dyDescent="0.2">
      <c r="A4" t="s">
        <v>43</v>
      </c>
      <c r="B4" t="s">
        <v>44</v>
      </c>
      <c r="C4">
        <v>203</v>
      </c>
      <c r="D4">
        <v>25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52</v>
      </c>
      <c r="M4">
        <v>187</v>
      </c>
      <c r="N4">
        <v>30</v>
      </c>
      <c r="O4">
        <v>26.72</v>
      </c>
      <c r="P4" t="s">
        <v>53</v>
      </c>
      <c r="Q4" t="s">
        <v>54</v>
      </c>
      <c r="R4" t="s">
        <v>55</v>
      </c>
      <c r="S4">
        <v>113</v>
      </c>
      <c r="T4" t="s">
        <v>55</v>
      </c>
      <c r="U4" t="s">
        <v>32</v>
      </c>
      <c r="V4" t="s">
        <v>32</v>
      </c>
      <c r="W4" t="s">
        <v>32</v>
      </c>
    </row>
    <row r="5" spans="1:23" x14ac:dyDescent="0.2">
      <c r="A5" t="s">
        <v>56</v>
      </c>
      <c r="B5" t="s">
        <v>56</v>
      </c>
      <c r="C5">
        <v>89</v>
      </c>
      <c r="D5">
        <v>39</v>
      </c>
      <c r="E5" t="s">
        <v>57</v>
      </c>
      <c r="F5" t="s">
        <v>58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>
        <v>0</v>
      </c>
      <c r="N5">
        <v>0</v>
      </c>
      <c r="O5">
        <v>0</v>
      </c>
      <c r="P5" t="s">
        <v>65</v>
      </c>
      <c r="Q5" t="s">
        <v>30</v>
      </c>
      <c r="R5" t="s">
        <v>30</v>
      </c>
      <c r="S5">
        <v>257</v>
      </c>
      <c r="T5" t="s">
        <v>66</v>
      </c>
      <c r="U5" t="s">
        <v>32</v>
      </c>
      <c r="V5" t="s">
        <v>32</v>
      </c>
      <c r="W5" t="s">
        <v>32</v>
      </c>
    </row>
    <row r="6" spans="1:23" x14ac:dyDescent="0.2">
      <c r="A6" t="s">
        <v>67</v>
      </c>
      <c r="B6" t="s">
        <v>67</v>
      </c>
      <c r="C6">
        <v>1871</v>
      </c>
      <c r="D6">
        <v>53</v>
      </c>
      <c r="E6" t="s">
        <v>68</v>
      </c>
      <c r="F6" t="s">
        <v>69</v>
      </c>
      <c r="G6" t="s">
        <v>70</v>
      </c>
      <c r="H6" t="s">
        <v>71</v>
      </c>
      <c r="I6" t="s">
        <v>32</v>
      </c>
      <c r="J6" t="s">
        <v>32</v>
      </c>
      <c r="K6" t="s">
        <v>30</v>
      </c>
      <c r="L6" t="s">
        <v>30</v>
      </c>
      <c r="M6">
        <v>0</v>
      </c>
      <c r="N6">
        <v>0</v>
      </c>
      <c r="O6">
        <v>0</v>
      </c>
      <c r="P6" t="s">
        <v>72</v>
      </c>
      <c r="Q6" t="s">
        <v>30</v>
      </c>
      <c r="R6" t="s">
        <v>30</v>
      </c>
      <c r="S6">
        <v>0</v>
      </c>
      <c r="T6" t="s">
        <v>30</v>
      </c>
      <c r="U6" t="s">
        <v>32</v>
      </c>
      <c r="V6" t="s">
        <v>32</v>
      </c>
      <c r="W6" t="s">
        <v>32</v>
      </c>
    </row>
    <row r="7" spans="1:23" x14ac:dyDescent="0.2">
      <c r="A7" t="s">
        <v>73</v>
      </c>
      <c r="B7" t="s">
        <v>73</v>
      </c>
      <c r="C7">
        <v>171</v>
      </c>
      <c r="D7">
        <v>44</v>
      </c>
      <c r="E7" t="s">
        <v>74</v>
      </c>
      <c r="F7" t="s">
        <v>75</v>
      </c>
      <c r="G7" t="s">
        <v>76</v>
      </c>
      <c r="H7" t="s">
        <v>77</v>
      </c>
      <c r="I7" t="s">
        <v>78</v>
      </c>
      <c r="J7" t="s">
        <v>79</v>
      </c>
      <c r="K7" t="s">
        <v>80</v>
      </c>
      <c r="L7" t="s">
        <v>81</v>
      </c>
      <c r="M7">
        <v>0</v>
      </c>
      <c r="N7">
        <v>0</v>
      </c>
      <c r="O7">
        <v>0</v>
      </c>
      <c r="P7" t="s">
        <v>82</v>
      </c>
      <c r="Q7" t="s">
        <v>30</v>
      </c>
      <c r="R7" t="s">
        <v>30</v>
      </c>
      <c r="S7">
        <v>172</v>
      </c>
      <c r="T7" t="s">
        <v>83</v>
      </c>
      <c r="U7" t="s">
        <v>84</v>
      </c>
      <c r="V7" t="s">
        <v>32</v>
      </c>
      <c r="W7" t="s">
        <v>32</v>
      </c>
    </row>
    <row r="8" spans="1:23" x14ac:dyDescent="0.2">
      <c r="A8" t="s">
        <v>85</v>
      </c>
      <c r="B8" t="s">
        <v>85</v>
      </c>
      <c r="C8">
        <v>1860</v>
      </c>
      <c r="D8">
        <v>51</v>
      </c>
      <c r="E8" t="s">
        <v>86</v>
      </c>
      <c r="F8" t="s">
        <v>87</v>
      </c>
      <c r="G8" t="s">
        <v>88</v>
      </c>
      <c r="H8" t="s">
        <v>89</v>
      </c>
      <c r="I8" t="s">
        <v>32</v>
      </c>
      <c r="J8" t="s">
        <v>32</v>
      </c>
      <c r="K8" t="s">
        <v>30</v>
      </c>
      <c r="L8" t="s">
        <v>30</v>
      </c>
      <c r="M8">
        <v>0</v>
      </c>
      <c r="N8">
        <v>0</v>
      </c>
      <c r="O8">
        <v>0</v>
      </c>
      <c r="P8" t="s">
        <v>90</v>
      </c>
      <c r="Q8" t="s">
        <v>30</v>
      </c>
      <c r="R8" t="s">
        <v>30</v>
      </c>
      <c r="S8">
        <v>0</v>
      </c>
      <c r="T8" t="s">
        <v>30</v>
      </c>
      <c r="U8" t="s">
        <v>32</v>
      </c>
      <c r="V8" t="s">
        <v>32</v>
      </c>
      <c r="W8" t="s">
        <v>32</v>
      </c>
    </row>
    <row r="9" spans="1:23" x14ac:dyDescent="0.2">
      <c r="A9" t="s">
        <v>91</v>
      </c>
      <c r="B9" t="s">
        <v>91</v>
      </c>
      <c r="C9">
        <v>38</v>
      </c>
      <c r="D9">
        <v>38</v>
      </c>
      <c r="E9" t="s">
        <v>92</v>
      </c>
      <c r="F9" t="s">
        <v>93</v>
      </c>
      <c r="G9" t="s">
        <v>92</v>
      </c>
      <c r="H9" t="s">
        <v>93</v>
      </c>
      <c r="I9" t="s">
        <v>94</v>
      </c>
      <c r="J9" t="s">
        <v>95</v>
      </c>
      <c r="K9" t="s">
        <v>96</v>
      </c>
      <c r="L9" t="s">
        <v>96</v>
      </c>
      <c r="M9">
        <v>0</v>
      </c>
      <c r="N9">
        <v>0</v>
      </c>
      <c r="O9">
        <v>0</v>
      </c>
      <c r="P9" t="s">
        <v>97</v>
      </c>
      <c r="Q9" t="s">
        <v>30</v>
      </c>
      <c r="R9" t="s">
        <v>30</v>
      </c>
      <c r="S9">
        <v>205</v>
      </c>
      <c r="T9" t="s">
        <v>98</v>
      </c>
      <c r="U9" t="s">
        <v>32</v>
      </c>
      <c r="V9" t="s">
        <v>32</v>
      </c>
      <c r="W9" t="s">
        <v>32</v>
      </c>
    </row>
    <row r="10" spans="1:23" x14ac:dyDescent="0.2">
      <c r="A10" t="s">
        <v>99</v>
      </c>
      <c r="B10" t="s">
        <v>99</v>
      </c>
      <c r="C10">
        <v>153</v>
      </c>
      <c r="D10">
        <v>32</v>
      </c>
      <c r="E10" t="s">
        <v>100</v>
      </c>
      <c r="F10" t="s">
        <v>101</v>
      </c>
      <c r="G10" t="s">
        <v>102</v>
      </c>
      <c r="H10" t="s">
        <v>103</v>
      </c>
      <c r="I10" t="s">
        <v>104</v>
      </c>
      <c r="J10" t="s">
        <v>105</v>
      </c>
      <c r="K10" t="s">
        <v>106</v>
      </c>
      <c r="L10" t="s">
        <v>107</v>
      </c>
      <c r="M10">
        <v>443</v>
      </c>
      <c r="N10">
        <v>9</v>
      </c>
      <c r="O10">
        <v>4.25</v>
      </c>
      <c r="P10" t="s">
        <v>108</v>
      </c>
      <c r="Q10" t="s">
        <v>109</v>
      </c>
      <c r="R10" t="s">
        <v>110</v>
      </c>
      <c r="S10">
        <v>439</v>
      </c>
      <c r="T10" t="s">
        <v>111</v>
      </c>
      <c r="U10" t="s">
        <v>32</v>
      </c>
      <c r="V10" t="s">
        <v>32</v>
      </c>
      <c r="W10" t="s">
        <v>32</v>
      </c>
    </row>
    <row r="11" spans="1:23" x14ac:dyDescent="0.2">
      <c r="A11" t="s">
        <v>112</v>
      </c>
      <c r="B11" t="s">
        <v>112</v>
      </c>
      <c r="C11">
        <v>125</v>
      </c>
      <c r="D11">
        <v>31</v>
      </c>
      <c r="E11" t="s">
        <v>113</v>
      </c>
      <c r="F11" t="s">
        <v>114</v>
      </c>
      <c r="G11" t="s">
        <v>115</v>
      </c>
      <c r="H11" t="s">
        <v>116</v>
      </c>
      <c r="I11" t="s">
        <v>117</v>
      </c>
      <c r="J11" t="s">
        <v>118</v>
      </c>
      <c r="K11" t="s">
        <v>119</v>
      </c>
      <c r="L11" t="s">
        <v>120</v>
      </c>
      <c r="M11">
        <v>0</v>
      </c>
      <c r="N11">
        <v>0</v>
      </c>
      <c r="O11">
        <v>0</v>
      </c>
      <c r="P11" t="s">
        <v>121</v>
      </c>
      <c r="Q11" t="s">
        <v>30</v>
      </c>
      <c r="R11" t="s">
        <v>30</v>
      </c>
      <c r="S11">
        <v>257</v>
      </c>
      <c r="T11" t="s">
        <v>122</v>
      </c>
      <c r="U11" t="s">
        <v>32</v>
      </c>
      <c r="V11" t="s">
        <v>32</v>
      </c>
      <c r="W11" t="s">
        <v>32</v>
      </c>
    </row>
    <row r="12" spans="1:23" x14ac:dyDescent="0.2">
      <c r="A12" t="s">
        <v>123</v>
      </c>
      <c r="B12" t="s">
        <v>124</v>
      </c>
      <c r="C12">
        <v>50</v>
      </c>
      <c r="D12">
        <v>50</v>
      </c>
      <c r="E12" t="s">
        <v>125</v>
      </c>
      <c r="F12" t="s">
        <v>126</v>
      </c>
      <c r="G12" t="s">
        <v>125</v>
      </c>
      <c r="H12" t="s">
        <v>126</v>
      </c>
      <c r="I12" t="s">
        <v>127</v>
      </c>
      <c r="J12" t="s">
        <v>128</v>
      </c>
      <c r="K12" t="s">
        <v>129</v>
      </c>
      <c r="L12" t="s">
        <v>129</v>
      </c>
      <c r="M12">
        <v>441</v>
      </c>
      <c r="N12">
        <v>40</v>
      </c>
      <c r="O12">
        <v>5.73</v>
      </c>
      <c r="P12" t="s">
        <v>130</v>
      </c>
      <c r="Q12" t="s">
        <v>131</v>
      </c>
      <c r="R12" t="s">
        <v>132</v>
      </c>
      <c r="S12">
        <v>126</v>
      </c>
      <c r="T12" t="s">
        <v>132</v>
      </c>
      <c r="U12" t="s">
        <v>84</v>
      </c>
      <c r="V12" t="s">
        <v>32</v>
      </c>
      <c r="W12" t="s">
        <v>32</v>
      </c>
    </row>
    <row r="13" spans="1:23" x14ac:dyDescent="0.2">
      <c r="A13" t="s">
        <v>133</v>
      </c>
      <c r="B13" t="s">
        <v>134</v>
      </c>
      <c r="C13">
        <v>62</v>
      </c>
      <c r="D13">
        <v>39</v>
      </c>
      <c r="E13" t="s">
        <v>135</v>
      </c>
      <c r="F13" t="s">
        <v>136</v>
      </c>
      <c r="G13" t="s">
        <v>137</v>
      </c>
      <c r="H13" t="s">
        <v>138</v>
      </c>
      <c r="I13" t="s">
        <v>139</v>
      </c>
      <c r="J13" t="s">
        <v>140</v>
      </c>
      <c r="K13" t="s">
        <v>141</v>
      </c>
      <c r="L13" t="s">
        <v>142</v>
      </c>
      <c r="M13">
        <v>445</v>
      </c>
      <c r="N13">
        <v>43</v>
      </c>
      <c r="O13">
        <v>7.32</v>
      </c>
      <c r="P13" t="s">
        <v>143</v>
      </c>
      <c r="Q13" t="s">
        <v>144</v>
      </c>
      <c r="R13" t="s">
        <v>145</v>
      </c>
      <c r="S13">
        <v>136</v>
      </c>
      <c r="T13" t="s">
        <v>145</v>
      </c>
      <c r="U13" t="s">
        <v>32</v>
      </c>
      <c r="V13" t="s">
        <v>32</v>
      </c>
      <c r="W13" t="s">
        <v>32</v>
      </c>
    </row>
    <row r="14" spans="1:23" x14ac:dyDescent="0.2">
      <c r="A14" t="s">
        <v>146</v>
      </c>
      <c r="B14" t="s">
        <v>147</v>
      </c>
      <c r="C14">
        <v>42</v>
      </c>
      <c r="D14">
        <v>42</v>
      </c>
      <c r="E14" t="s">
        <v>148</v>
      </c>
      <c r="F14" t="s">
        <v>149</v>
      </c>
      <c r="G14" t="s">
        <v>148</v>
      </c>
      <c r="H14" t="s">
        <v>149</v>
      </c>
      <c r="I14" t="s">
        <v>150</v>
      </c>
      <c r="J14" t="s">
        <v>151</v>
      </c>
      <c r="K14" t="s">
        <v>152</v>
      </c>
      <c r="L14" t="s">
        <v>152</v>
      </c>
      <c r="M14">
        <v>470</v>
      </c>
      <c r="N14">
        <v>0</v>
      </c>
      <c r="O14">
        <v>0</v>
      </c>
      <c r="P14" t="s">
        <v>153</v>
      </c>
      <c r="Q14" t="s">
        <v>30</v>
      </c>
      <c r="R14" t="s">
        <v>154</v>
      </c>
      <c r="S14">
        <v>191</v>
      </c>
      <c r="T14" t="s">
        <v>154</v>
      </c>
      <c r="U14" t="s">
        <v>32</v>
      </c>
      <c r="V14" t="s">
        <v>32</v>
      </c>
      <c r="W14" t="s">
        <v>32</v>
      </c>
    </row>
    <row r="15" spans="1:23" x14ac:dyDescent="0.2">
      <c r="A15" t="s">
        <v>155</v>
      </c>
      <c r="B15" t="s">
        <v>155</v>
      </c>
      <c r="C15">
        <v>122</v>
      </c>
      <c r="D15">
        <v>30</v>
      </c>
      <c r="E15" t="s">
        <v>156</v>
      </c>
      <c r="F15" t="s">
        <v>157</v>
      </c>
      <c r="G15" t="s">
        <v>158</v>
      </c>
      <c r="H15" t="s">
        <v>159</v>
      </c>
      <c r="I15" t="s">
        <v>160</v>
      </c>
      <c r="J15" t="s">
        <v>161</v>
      </c>
      <c r="K15" t="s">
        <v>162</v>
      </c>
      <c r="L15" t="s">
        <v>163</v>
      </c>
      <c r="M15">
        <v>0</v>
      </c>
      <c r="N15">
        <v>0</v>
      </c>
      <c r="O15">
        <v>0</v>
      </c>
      <c r="P15" t="s">
        <v>164</v>
      </c>
      <c r="Q15" t="s">
        <v>30</v>
      </c>
      <c r="R15" t="s">
        <v>30</v>
      </c>
      <c r="S15">
        <v>86</v>
      </c>
      <c r="T15" t="s">
        <v>165</v>
      </c>
      <c r="U15" t="s">
        <v>32</v>
      </c>
      <c r="V15" t="s">
        <v>32</v>
      </c>
      <c r="W15" t="s">
        <v>32</v>
      </c>
    </row>
    <row r="16" spans="1:23" x14ac:dyDescent="0.2">
      <c r="A16" t="s">
        <v>166</v>
      </c>
      <c r="B16" t="s">
        <v>166</v>
      </c>
      <c r="C16">
        <v>893</v>
      </c>
      <c r="D16">
        <v>63</v>
      </c>
      <c r="E16" t="s">
        <v>167</v>
      </c>
      <c r="F16" t="s">
        <v>168</v>
      </c>
      <c r="G16" t="s">
        <v>169</v>
      </c>
      <c r="H16" t="s">
        <v>170</v>
      </c>
      <c r="I16" t="s">
        <v>171</v>
      </c>
      <c r="J16" t="s">
        <v>172</v>
      </c>
      <c r="K16" t="s">
        <v>173</v>
      </c>
      <c r="L16" t="s">
        <v>174</v>
      </c>
      <c r="M16">
        <v>0</v>
      </c>
      <c r="N16">
        <v>0</v>
      </c>
      <c r="O16">
        <v>0</v>
      </c>
      <c r="P16" t="s">
        <v>175</v>
      </c>
      <c r="Q16" t="s">
        <v>30</v>
      </c>
      <c r="R16" t="s">
        <v>30</v>
      </c>
      <c r="S16">
        <v>0</v>
      </c>
      <c r="T16" t="s">
        <v>30</v>
      </c>
      <c r="U16" t="s">
        <v>32</v>
      </c>
      <c r="V16" t="s">
        <v>32</v>
      </c>
      <c r="W16" t="s">
        <v>32</v>
      </c>
    </row>
    <row r="17" spans="1:23" x14ac:dyDescent="0.2">
      <c r="A17" t="s">
        <v>176</v>
      </c>
      <c r="B17" t="s">
        <v>176</v>
      </c>
      <c r="C17">
        <v>32</v>
      </c>
      <c r="D17">
        <v>32</v>
      </c>
      <c r="E17" t="s">
        <v>177</v>
      </c>
      <c r="F17" t="s">
        <v>178</v>
      </c>
      <c r="G17" t="s">
        <v>177</v>
      </c>
      <c r="H17" t="s">
        <v>178</v>
      </c>
      <c r="I17" t="s">
        <v>179</v>
      </c>
      <c r="J17" t="s">
        <v>180</v>
      </c>
      <c r="K17" t="s">
        <v>181</v>
      </c>
      <c r="L17" t="s">
        <v>181</v>
      </c>
      <c r="M17">
        <v>0</v>
      </c>
      <c r="N17">
        <v>0</v>
      </c>
      <c r="O17">
        <v>0</v>
      </c>
      <c r="P17" t="s">
        <v>182</v>
      </c>
      <c r="Q17" t="s">
        <v>30</v>
      </c>
      <c r="R17" t="s">
        <v>30</v>
      </c>
      <c r="S17">
        <v>83</v>
      </c>
      <c r="T17" t="s">
        <v>183</v>
      </c>
      <c r="U17" t="s">
        <v>184</v>
      </c>
      <c r="V17" t="s">
        <v>32</v>
      </c>
      <c r="W17" t="s">
        <v>32</v>
      </c>
    </row>
    <row r="18" spans="1:23" x14ac:dyDescent="0.2">
      <c r="A18" t="s">
        <v>185</v>
      </c>
      <c r="B18" t="s">
        <v>185</v>
      </c>
      <c r="C18">
        <v>1024</v>
      </c>
      <c r="D18">
        <v>65</v>
      </c>
      <c r="E18" t="s">
        <v>186</v>
      </c>
      <c r="F18" t="s">
        <v>187</v>
      </c>
      <c r="G18" t="s">
        <v>188</v>
      </c>
      <c r="H18" t="s">
        <v>189</v>
      </c>
      <c r="I18" t="s">
        <v>32</v>
      </c>
      <c r="J18" t="s">
        <v>190</v>
      </c>
      <c r="K18" t="s">
        <v>191</v>
      </c>
      <c r="L18" t="s">
        <v>192</v>
      </c>
      <c r="M18">
        <v>0</v>
      </c>
      <c r="N18">
        <v>0</v>
      </c>
      <c r="O18">
        <v>0</v>
      </c>
      <c r="P18" t="s">
        <v>193</v>
      </c>
      <c r="Q18" t="s">
        <v>30</v>
      </c>
      <c r="R18" t="s">
        <v>30</v>
      </c>
      <c r="S18">
        <v>0</v>
      </c>
      <c r="T18" t="s">
        <v>30</v>
      </c>
      <c r="U18" t="s">
        <v>32</v>
      </c>
      <c r="V18" t="s">
        <v>32</v>
      </c>
      <c r="W18" t="s">
        <v>32</v>
      </c>
    </row>
    <row r="19" spans="1:23" x14ac:dyDescent="0.2">
      <c r="A19" t="s">
        <v>194</v>
      </c>
      <c r="B19" t="s">
        <v>194</v>
      </c>
      <c r="C19">
        <v>2227</v>
      </c>
      <c r="D19">
        <v>65</v>
      </c>
      <c r="E19" t="s">
        <v>195</v>
      </c>
      <c r="F19" t="s">
        <v>196</v>
      </c>
      <c r="G19" t="s">
        <v>197</v>
      </c>
      <c r="H19" t="s">
        <v>198</v>
      </c>
      <c r="I19" t="s">
        <v>32</v>
      </c>
      <c r="J19" t="s">
        <v>199</v>
      </c>
      <c r="K19" t="s">
        <v>200</v>
      </c>
      <c r="L19" t="s">
        <v>201</v>
      </c>
      <c r="M19">
        <v>0</v>
      </c>
      <c r="N19">
        <v>0</v>
      </c>
      <c r="O19">
        <v>0</v>
      </c>
      <c r="P19" t="s">
        <v>202</v>
      </c>
      <c r="Q19" t="s">
        <v>30</v>
      </c>
      <c r="R19" t="s">
        <v>30</v>
      </c>
      <c r="S19">
        <v>0</v>
      </c>
      <c r="T19" t="s">
        <v>30</v>
      </c>
      <c r="U19" t="s">
        <v>32</v>
      </c>
      <c r="V19" t="s">
        <v>32</v>
      </c>
      <c r="W19" t="s">
        <v>32</v>
      </c>
    </row>
    <row r="20" spans="1:23" x14ac:dyDescent="0.2">
      <c r="A20" t="s">
        <v>203</v>
      </c>
      <c r="B20" t="s">
        <v>204</v>
      </c>
      <c r="C20">
        <v>211</v>
      </c>
      <c r="D20">
        <v>44</v>
      </c>
      <c r="E20" t="s">
        <v>205</v>
      </c>
      <c r="F20" t="s">
        <v>206</v>
      </c>
      <c r="G20" t="s">
        <v>207</v>
      </c>
      <c r="H20" t="s">
        <v>208</v>
      </c>
      <c r="I20" t="s">
        <v>32</v>
      </c>
      <c r="J20" t="s">
        <v>209</v>
      </c>
      <c r="K20" t="s">
        <v>210</v>
      </c>
      <c r="L20" t="s">
        <v>211</v>
      </c>
      <c r="M20">
        <v>427</v>
      </c>
      <c r="N20">
        <v>15</v>
      </c>
      <c r="O20">
        <v>0.28000000000000003</v>
      </c>
      <c r="P20" t="s">
        <v>212</v>
      </c>
      <c r="Q20" t="s">
        <v>213</v>
      </c>
      <c r="R20" t="s">
        <v>214</v>
      </c>
      <c r="S20">
        <v>359</v>
      </c>
      <c r="T20" t="s">
        <v>215</v>
      </c>
      <c r="U20" t="s">
        <v>32</v>
      </c>
      <c r="V20" t="s">
        <v>32</v>
      </c>
      <c r="W20" t="s">
        <v>32</v>
      </c>
    </row>
    <row r="21" spans="1:23" x14ac:dyDescent="0.2">
      <c r="A21" t="s">
        <v>216</v>
      </c>
      <c r="B21" t="s">
        <v>216</v>
      </c>
      <c r="C21">
        <v>42</v>
      </c>
      <c r="D21">
        <v>42</v>
      </c>
      <c r="E21" t="s">
        <v>217</v>
      </c>
      <c r="F21" t="s">
        <v>218</v>
      </c>
      <c r="G21" t="s">
        <v>217</v>
      </c>
      <c r="H21" t="s">
        <v>218</v>
      </c>
      <c r="I21" t="s">
        <v>219</v>
      </c>
      <c r="J21" t="s">
        <v>220</v>
      </c>
      <c r="K21" t="s">
        <v>221</v>
      </c>
      <c r="L21" t="s">
        <v>221</v>
      </c>
      <c r="M21">
        <v>0</v>
      </c>
      <c r="N21">
        <v>0</v>
      </c>
      <c r="O21">
        <v>0</v>
      </c>
      <c r="P21" t="s">
        <v>222</v>
      </c>
      <c r="Q21" t="s">
        <v>30</v>
      </c>
      <c r="R21" t="s">
        <v>30</v>
      </c>
      <c r="S21">
        <v>185</v>
      </c>
      <c r="T21" t="s">
        <v>154</v>
      </c>
      <c r="U21" t="s">
        <v>32</v>
      </c>
      <c r="V21" t="s">
        <v>32</v>
      </c>
      <c r="W21" t="s">
        <v>32</v>
      </c>
    </row>
    <row r="22" spans="1:23" x14ac:dyDescent="0.2">
      <c r="A22" t="s">
        <v>223</v>
      </c>
      <c r="B22" t="s">
        <v>224</v>
      </c>
      <c r="C22">
        <v>194</v>
      </c>
      <c r="D22">
        <v>45</v>
      </c>
      <c r="E22" t="s">
        <v>225</v>
      </c>
      <c r="F22" t="s">
        <v>226</v>
      </c>
      <c r="G22" t="s">
        <v>227</v>
      </c>
      <c r="H22" t="s">
        <v>228</v>
      </c>
      <c r="I22" t="s">
        <v>229</v>
      </c>
      <c r="J22" t="s">
        <v>230</v>
      </c>
      <c r="K22" t="s">
        <v>231</v>
      </c>
      <c r="L22" t="s">
        <v>232</v>
      </c>
      <c r="M22">
        <v>410</v>
      </c>
      <c r="N22">
        <v>0</v>
      </c>
      <c r="O22">
        <v>0</v>
      </c>
      <c r="P22" t="s">
        <v>233</v>
      </c>
      <c r="Q22" t="s">
        <v>30</v>
      </c>
      <c r="R22" t="s">
        <v>234</v>
      </c>
      <c r="S22">
        <v>356</v>
      </c>
      <c r="T22" t="s">
        <v>235</v>
      </c>
      <c r="U22" t="s">
        <v>32</v>
      </c>
      <c r="V22" t="s">
        <v>32</v>
      </c>
      <c r="W22" t="s">
        <v>32</v>
      </c>
    </row>
    <row r="23" spans="1:23" x14ac:dyDescent="0.2">
      <c r="A23" t="s">
        <v>236</v>
      </c>
      <c r="B23" t="s">
        <v>237</v>
      </c>
      <c r="C23">
        <v>37</v>
      </c>
      <c r="D23">
        <v>37</v>
      </c>
      <c r="E23" t="s">
        <v>238</v>
      </c>
      <c r="F23" t="s">
        <v>239</v>
      </c>
      <c r="G23" t="s">
        <v>238</v>
      </c>
      <c r="H23" t="s">
        <v>239</v>
      </c>
      <c r="I23" t="s">
        <v>240</v>
      </c>
      <c r="J23" t="s">
        <v>241</v>
      </c>
      <c r="K23" t="s">
        <v>242</v>
      </c>
      <c r="L23" t="s">
        <v>242</v>
      </c>
      <c r="M23">
        <v>449</v>
      </c>
      <c r="N23">
        <v>63</v>
      </c>
      <c r="O23">
        <v>10.52</v>
      </c>
      <c r="P23" t="s">
        <v>243</v>
      </c>
      <c r="Q23" t="s">
        <v>244</v>
      </c>
      <c r="R23" t="s">
        <v>245</v>
      </c>
      <c r="S23">
        <v>91</v>
      </c>
      <c r="T23" t="s">
        <v>245</v>
      </c>
      <c r="U23" t="s">
        <v>84</v>
      </c>
      <c r="V23" t="s">
        <v>32</v>
      </c>
      <c r="W23" t="s">
        <v>32</v>
      </c>
    </row>
    <row r="24" spans="1:23" x14ac:dyDescent="0.2">
      <c r="A24" t="s">
        <v>246</v>
      </c>
      <c r="B24" t="s">
        <v>246</v>
      </c>
      <c r="C24">
        <v>1861</v>
      </c>
      <c r="D24">
        <v>51</v>
      </c>
      <c r="E24" t="s">
        <v>247</v>
      </c>
      <c r="F24" t="s">
        <v>248</v>
      </c>
      <c r="G24" t="s">
        <v>249</v>
      </c>
      <c r="H24" t="s">
        <v>250</v>
      </c>
      <c r="I24" t="s">
        <v>251</v>
      </c>
      <c r="J24" t="s">
        <v>32</v>
      </c>
      <c r="K24" t="s">
        <v>30</v>
      </c>
      <c r="L24" t="s">
        <v>30</v>
      </c>
      <c r="M24">
        <v>0</v>
      </c>
      <c r="N24">
        <v>0</v>
      </c>
      <c r="O24">
        <v>0</v>
      </c>
      <c r="P24" t="s">
        <v>252</v>
      </c>
      <c r="Q24" t="s">
        <v>30</v>
      </c>
      <c r="R24" t="s">
        <v>30</v>
      </c>
      <c r="S24">
        <v>0</v>
      </c>
      <c r="T24" t="s">
        <v>30</v>
      </c>
      <c r="U24" t="s">
        <v>32</v>
      </c>
      <c r="V24" t="s">
        <v>32</v>
      </c>
      <c r="W24" t="s">
        <v>32</v>
      </c>
    </row>
    <row r="25" spans="1:23" x14ac:dyDescent="0.2">
      <c r="A25" t="s">
        <v>253</v>
      </c>
      <c r="B25" t="s">
        <v>253</v>
      </c>
      <c r="C25">
        <v>49</v>
      </c>
      <c r="D25">
        <v>49</v>
      </c>
      <c r="E25" t="s">
        <v>254</v>
      </c>
      <c r="F25" t="s">
        <v>255</v>
      </c>
      <c r="G25" t="s">
        <v>254</v>
      </c>
      <c r="H25" t="s">
        <v>255</v>
      </c>
      <c r="I25" t="s">
        <v>256</v>
      </c>
      <c r="J25" t="s">
        <v>257</v>
      </c>
      <c r="K25" t="s">
        <v>258</v>
      </c>
      <c r="L25" t="s">
        <v>258</v>
      </c>
      <c r="M25">
        <v>550</v>
      </c>
      <c r="N25">
        <v>0</v>
      </c>
      <c r="O25">
        <v>0</v>
      </c>
      <c r="P25" t="s">
        <v>259</v>
      </c>
      <c r="Q25" t="s">
        <v>30</v>
      </c>
      <c r="R25" t="s">
        <v>260</v>
      </c>
      <c r="S25">
        <v>149</v>
      </c>
      <c r="T25" t="s">
        <v>261</v>
      </c>
      <c r="U25" t="s">
        <v>32</v>
      </c>
      <c r="V25" t="s">
        <v>32</v>
      </c>
      <c r="W25" t="s">
        <v>32</v>
      </c>
    </row>
    <row r="26" spans="1:23" x14ac:dyDescent="0.2">
      <c r="A26" t="s">
        <v>262</v>
      </c>
      <c r="B26" t="s">
        <v>262</v>
      </c>
      <c r="C26">
        <v>1863</v>
      </c>
      <c r="D26">
        <v>51</v>
      </c>
      <c r="E26" t="s">
        <v>263</v>
      </c>
      <c r="F26" t="s">
        <v>264</v>
      </c>
      <c r="G26" t="s">
        <v>265</v>
      </c>
      <c r="H26" t="s">
        <v>266</v>
      </c>
      <c r="I26" t="s">
        <v>32</v>
      </c>
      <c r="J26" t="s">
        <v>32</v>
      </c>
      <c r="K26" t="s">
        <v>30</v>
      </c>
      <c r="L26" t="s">
        <v>30</v>
      </c>
      <c r="M26">
        <v>0</v>
      </c>
      <c r="N26">
        <v>0</v>
      </c>
      <c r="O26">
        <v>0</v>
      </c>
      <c r="P26" t="s">
        <v>267</v>
      </c>
      <c r="Q26" t="s">
        <v>30</v>
      </c>
      <c r="R26" t="s">
        <v>30</v>
      </c>
      <c r="S26">
        <v>0</v>
      </c>
      <c r="T26" t="s">
        <v>30</v>
      </c>
      <c r="U26" t="s">
        <v>32</v>
      </c>
      <c r="V26" t="s">
        <v>32</v>
      </c>
      <c r="W26" t="s">
        <v>32</v>
      </c>
    </row>
    <row r="27" spans="1:23" x14ac:dyDescent="0.2">
      <c r="A27" t="s">
        <v>268</v>
      </c>
      <c r="B27" t="s">
        <v>268</v>
      </c>
      <c r="C27">
        <v>117</v>
      </c>
      <c r="D27">
        <v>70</v>
      </c>
      <c r="E27" t="s">
        <v>269</v>
      </c>
      <c r="F27" t="s">
        <v>270</v>
      </c>
      <c r="G27" t="s">
        <v>271</v>
      </c>
      <c r="H27" t="s">
        <v>272</v>
      </c>
      <c r="I27" t="s">
        <v>273</v>
      </c>
      <c r="J27" t="s">
        <v>274</v>
      </c>
      <c r="K27" t="s">
        <v>275</v>
      </c>
      <c r="L27" t="s">
        <v>276</v>
      </c>
      <c r="M27">
        <v>0</v>
      </c>
      <c r="N27">
        <v>0</v>
      </c>
      <c r="O27">
        <v>0</v>
      </c>
      <c r="P27" t="s">
        <v>277</v>
      </c>
      <c r="Q27" t="s">
        <v>30</v>
      </c>
      <c r="R27" t="s">
        <v>30</v>
      </c>
      <c r="S27">
        <v>734</v>
      </c>
      <c r="T27" t="s">
        <v>278</v>
      </c>
      <c r="U27" t="s">
        <v>279</v>
      </c>
      <c r="V27" t="s">
        <v>32</v>
      </c>
      <c r="W27" t="s">
        <v>32</v>
      </c>
    </row>
    <row r="28" spans="1:23" x14ac:dyDescent="0.2">
      <c r="A28" t="s">
        <v>280</v>
      </c>
      <c r="B28" t="s">
        <v>281</v>
      </c>
      <c r="C28">
        <v>129</v>
      </c>
      <c r="D28">
        <v>87</v>
      </c>
      <c r="E28" t="s">
        <v>282</v>
      </c>
      <c r="F28" t="s">
        <v>283</v>
      </c>
      <c r="G28" t="s">
        <v>284</v>
      </c>
      <c r="H28" t="s">
        <v>285</v>
      </c>
      <c r="I28" t="s">
        <v>286</v>
      </c>
      <c r="J28" t="s">
        <v>287</v>
      </c>
      <c r="K28" t="s">
        <v>288</v>
      </c>
      <c r="L28" t="s">
        <v>289</v>
      </c>
      <c r="M28">
        <v>934</v>
      </c>
      <c r="N28">
        <v>18</v>
      </c>
      <c r="O28">
        <v>1.07</v>
      </c>
      <c r="P28" t="s">
        <v>290</v>
      </c>
      <c r="Q28" t="s">
        <v>291</v>
      </c>
      <c r="R28" t="s">
        <v>292</v>
      </c>
      <c r="S28">
        <v>615</v>
      </c>
      <c r="T28" t="s">
        <v>292</v>
      </c>
      <c r="U28" t="s">
        <v>32</v>
      </c>
      <c r="V28" t="s">
        <v>32</v>
      </c>
      <c r="W28" t="s">
        <v>32</v>
      </c>
    </row>
    <row r="29" spans="1:23" x14ac:dyDescent="0.2">
      <c r="A29" t="s">
        <v>293</v>
      </c>
      <c r="B29" t="s">
        <v>294</v>
      </c>
      <c r="C29">
        <v>170</v>
      </c>
      <c r="D29">
        <v>170</v>
      </c>
      <c r="E29" t="s">
        <v>295</v>
      </c>
      <c r="F29" t="s">
        <v>296</v>
      </c>
      <c r="G29" t="s">
        <v>295</v>
      </c>
      <c r="H29" t="s">
        <v>296</v>
      </c>
      <c r="I29" t="s">
        <v>297</v>
      </c>
      <c r="J29" t="s">
        <v>298</v>
      </c>
      <c r="K29" t="s">
        <v>299</v>
      </c>
      <c r="L29" t="s">
        <v>299</v>
      </c>
      <c r="M29">
        <v>952</v>
      </c>
      <c r="N29">
        <v>14</v>
      </c>
      <c r="O29">
        <v>1.33</v>
      </c>
      <c r="P29" t="s">
        <v>300</v>
      </c>
      <c r="Q29" t="s">
        <v>301</v>
      </c>
      <c r="R29" t="s">
        <v>302</v>
      </c>
      <c r="S29">
        <v>996</v>
      </c>
      <c r="T29" t="s">
        <v>302</v>
      </c>
      <c r="U29" t="s">
        <v>32</v>
      </c>
      <c r="V29" t="s">
        <v>32</v>
      </c>
      <c r="W29" t="s">
        <v>32</v>
      </c>
    </row>
    <row r="30" spans="1:23" x14ac:dyDescent="0.2">
      <c r="A30" t="s">
        <v>303</v>
      </c>
      <c r="B30" t="s">
        <v>304</v>
      </c>
      <c r="C30">
        <v>44</v>
      </c>
      <c r="D30">
        <v>44</v>
      </c>
      <c r="E30" t="s">
        <v>305</v>
      </c>
      <c r="F30" t="s">
        <v>306</v>
      </c>
      <c r="G30" t="s">
        <v>305</v>
      </c>
      <c r="H30" t="s">
        <v>306</v>
      </c>
      <c r="I30" t="s">
        <v>307</v>
      </c>
      <c r="J30" t="s">
        <v>308</v>
      </c>
      <c r="K30" t="s">
        <v>129</v>
      </c>
      <c r="L30" t="s">
        <v>129</v>
      </c>
      <c r="M30">
        <v>467</v>
      </c>
      <c r="N30">
        <v>30</v>
      </c>
      <c r="O30">
        <v>5.77</v>
      </c>
      <c r="P30" t="s">
        <v>309</v>
      </c>
      <c r="Q30" t="s">
        <v>299</v>
      </c>
      <c r="R30" t="s">
        <v>310</v>
      </c>
      <c r="S30">
        <v>206</v>
      </c>
      <c r="T30" t="s">
        <v>154</v>
      </c>
      <c r="U30" t="s">
        <v>32</v>
      </c>
      <c r="V30" t="s">
        <v>32</v>
      </c>
      <c r="W30" t="s">
        <v>32</v>
      </c>
    </row>
    <row r="31" spans="1:23" x14ac:dyDescent="0.2">
      <c r="A31" t="s">
        <v>311</v>
      </c>
      <c r="B31" t="s">
        <v>312</v>
      </c>
      <c r="C31">
        <v>28</v>
      </c>
      <c r="D31">
        <v>28</v>
      </c>
      <c r="E31" t="s">
        <v>313</v>
      </c>
      <c r="F31" t="s">
        <v>314</v>
      </c>
      <c r="G31" t="s">
        <v>313</v>
      </c>
      <c r="H31" t="s">
        <v>314</v>
      </c>
      <c r="I31" t="s">
        <v>315</v>
      </c>
      <c r="J31" t="s">
        <v>316</v>
      </c>
      <c r="K31" t="s">
        <v>317</v>
      </c>
      <c r="L31" t="s">
        <v>317</v>
      </c>
      <c r="M31">
        <v>212</v>
      </c>
      <c r="N31">
        <v>0</v>
      </c>
      <c r="O31">
        <v>0</v>
      </c>
      <c r="P31" t="s">
        <v>318</v>
      </c>
      <c r="Q31" t="s">
        <v>30</v>
      </c>
      <c r="R31" t="s">
        <v>319</v>
      </c>
      <c r="S31">
        <v>53</v>
      </c>
      <c r="T31" t="s">
        <v>154</v>
      </c>
      <c r="U31" t="s">
        <v>32</v>
      </c>
      <c r="V31" t="s">
        <v>32</v>
      </c>
      <c r="W31" t="s">
        <v>32</v>
      </c>
    </row>
    <row r="32" spans="1:23" x14ac:dyDescent="0.2">
      <c r="A32" t="s">
        <v>320</v>
      </c>
      <c r="B32" t="s">
        <v>321</v>
      </c>
      <c r="C32">
        <v>2244</v>
      </c>
      <c r="D32">
        <v>64</v>
      </c>
      <c r="E32" t="s">
        <v>322</v>
      </c>
      <c r="F32" t="s">
        <v>323</v>
      </c>
      <c r="G32" t="s">
        <v>324</v>
      </c>
      <c r="H32" t="s">
        <v>325</v>
      </c>
      <c r="I32" t="s">
        <v>32</v>
      </c>
      <c r="J32" t="s">
        <v>326</v>
      </c>
      <c r="K32" t="s">
        <v>327</v>
      </c>
      <c r="L32" t="s">
        <v>328</v>
      </c>
      <c r="M32">
        <v>0</v>
      </c>
      <c r="N32">
        <v>0</v>
      </c>
      <c r="O32">
        <v>0</v>
      </c>
      <c r="P32" t="s">
        <v>329</v>
      </c>
      <c r="Q32" t="s">
        <v>30</v>
      </c>
      <c r="R32" t="s">
        <v>30</v>
      </c>
      <c r="S32">
        <v>0</v>
      </c>
      <c r="T32" t="s">
        <v>30</v>
      </c>
      <c r="U32" t="s">
        <v>32</v>
      </c>
      <c r="V32" t="s">
        <v>32</v>
      </c>
      <c r="W32" t="s">
        <v>32</v>
      </c>
    </row>
    <row r="33" spans="1:23" x14ac:dyDescent="0.2">
      <c r="A33" t="s">
        <v>330</v>
      </c>
      <c r="B33" t="s">
        <v>330</v>
      </c>
      <c r="C33">
        <v>40</v>
      </c>
      <c r="D33">
        <v>40</v>
      </c>
      <c r="E33" t="s">
        <v>331</v>
      </c>
      <c r="F33" t="s">
        <v>332</v>
      </c>
      <c r="G33" t="s">
        <v>331</v>
      </c>
      <c r="H33" t="s">
        <v>332</v>
      </c>
      <c r="I33" t="s">
        <v>333</v>
      </c>
      <c r="J33" t="s">
        <v>334</v>
      </c>
      <c r="K33" t="s">
        <v>335</v>
      </c>
      <c r="L33" t="s">
        <v>335</v>
      </c>
      <c r="M33">
        <v>0</v>
      </c>
      <c r="N33">
        <v>0</v>
      </c>
      <c r="O33">
        <v>0</v>
      </c>
      <c r="P33" t="s">
        <v>336</v>
      </c>
      <c r="Q33" t="s">
        <v>30</v>
      </c>
      <c r="R33" t="s">
        <v>30</v>
      </c>
      <c r="S33">
        <v>133</v>
      </c>
      <c r="T33" t="s">
        <v>154</v>
      </c>
      <c r="U33" t="s">
        <v>32</v>
      </c>
      <c r="V33" t="s">
        <v>32</v>
      </c>
      <c r="W33" t="s">
        <v>32</v>
      </c>
    </row>
    <row r="34" spans="1:23" x14ac:dyDescent="0.2">
      <c r="A34" t="s">
        <v>337</v>
      </c>
      <c r="B34" t="s">
        <v>337</v>
      </c>
      <c r="C34">
        <v>40</v>
      </c>
      <c r="D34">
        <v>40</v>
      </c>
      <c r="E34" t="s">
        <v>338</v>
      </c>
      <c r="F34" t="s">
        <v>339</v>
      </c>
      <c r="G34" t="s">
        <v>338</v>
      </c>
      <c r="H34" t="s">
        <v>339</v>
      </c>
      <c r="I34" t="s">
        <v>150</v>
      </c>
      <c r="J34" t="s">
        <v>340</v>
      </c>
      <c r="K34" t="s">
        <v>341</v>
      </c>
      <c r="L34" t="s">
        <v>341</v>
      </c>
      <c r="M34">
        <v>0</v>
      </c>
      <c r="N34">
        <v>0</v>
      </c>
      <c r="O34">
        <v>0</v>
      </c>
      <c r="P34" t="s">
        <v>342</v>
      </c>
      <c r="Q34" t="s">
        <v>30</v>
      </c>
      <c r="R34" t="s">
        <v>30</v>
      </c>
      <c r="S34">
        <v>123</v>
      </c>
      <c r="T34" t="s">
        <v>343</v>
      </c>
      <c r="U34" t="s">
        <v>32</v>
      </c>
      <c r="V34" t="s">
        <v>32</v>
      </c>
      <c r="W34" t="s">
        <v>32</v>
      </c>
    </row>
    <row r="35" spans="1:23" x14ac:dyDescent="0.2">
      <c r="A35" t="s">
        <v>344</v>
      </c>
      <c r="B35" t="s">
        <v>345</v>
      </c>
      <c r="C35">
        <v>47</v>
      </c>
      <c r="D35">
        <v>47</v>
      </c>
      <c r="E35" t="s">
        <v>346</v>
      </c>
      <c r="F35" t="s">
        <v>347</v>
      </c>
      <c r="G35" t="s">
        <v>346</v>
      </c>
      <c r="H35" t="s">
        <v>347</v>
      </c>
      <c r="I35" t="s">
        <v>348</v>
      </c>
      <c r="J35" t="s">
        <v>349</v>
      </c>
      <c r="K35" t="s">
        <v>350</v>
      </c>
      <c r="L35" t="s">
        <v>350</v>
      </c>
      <c r="M35">
        <v>503</v>
      </c>
      <c r="N35">
        <v>0</v>
      </c>
      <c r="O35">
        <v>0</v>
      </c>
      <c r="P35" t="s">
        <v>351</v>
      </c>
      <c r="Q35" t="s">
        <v>30</v>
      </c>
      <c r="R35" t="s">
        <v>352</v>
      </c>
      <c r="S35">
        <v>152</v>
      </c>
      <c r="T35" t="s">
        <v>154</v>
      </c>
      <c r="U35" t="s">
        <v>32</v>
      </c>
      <c r="V35" t="s">
        <v>32</v>
      </c>
      <c r="W35" t="s">
        <v>32</v>
      </c>
    </row>
    <row r="36" spans="1:23" x14ac:dyDescent="0.2">
      <c r="A36" t="s">
        <v>353</v>
      </c>
      <c r="B36" t="s">
        <v>353</v>
      </c>
      <c r="C36">
        <v>143</v>
      </c>
      <c r="D36">
        <v>79</v>
      </c>
      <c r="E36" t="s">
        <v>354</v>
      </c>
      <c r="F36" t="s">
        <v>355</v>
      </c>
      <c r="G36" t="s">
        <v>356</v>
      </c>
      <c r="H36" t="s">
        <v>357</v>
      </c>
      <c r="I36" t="s">
        <v>358</v>
      </c>
      <c r="J36" t="s">
        <v>359</v>
      </c>
      <c r="K36" t="s">
        <v>360</v>
      </c>
      <c r="L36" t="s">
        <v>361</v>
      </c>
      <c r="M36">
        <v>0</v>
      </c>
      <c r="N36">
        <v>0</v>
      </c>
      <c r="O36">
        <v>0</v>
      </c>
      <c r="P36" t="s">
        <v>259</v>
      </c>
      <c r="Q36" t="s">
        <v>30</v>
      </c>
      <c r="R36" t="s">
        <v>30</v>
      </c>
      <c r="S36">
        <v>402</v>
      </c>
      <c r="T36" t="s">
        <v>362</v>
      </c>
      <c r="U36" t="s">
        <v>32</v>
      </c>
      <c r="V36" t="s">
        <v>32</v>
      </c>
      <c r="W36" t="s">
        <v>32</v>
      </c>
    </row>
    <row r="37" spans="1:23" x14ac:dyDescent="0.2">
      <c r="A37" t="s">
        <v>363</v>
      </c>
      <c r="B37" t="s">
        <v>364</v>
      </c>
      <c r="C37">
        <v>197</v>
      </c>
      <c r="D37">
        <v>44</v>
      </c>
      <c r="E37" t="s">
        <v>365</v>
      </c>
      <c r="F37" t="s">
        <v>366</v>
      </c>
      <c r="G37" t="s">
        <v>367</v>
      </c>
      <c r="H37" t="s">
        <v>368</v>
      </c>
      <c r="I37" t="s">
        <v>369</v>
      </c>
      <c r="J37" t="s">
        <v>370</v>
      </c>
      <c r="K37" t="s">
        <v>371</v>
      </c>
      <c r="L37" t="s">
        <v>372</v>
      </c>
      <c r="M37">
        <v>264</v>
      </c>
      <c r="N37">
        <v>4</v>
      </c>
      <c r="O37">
        <v>0.17</v>
      </c>
      <c r="P37" t="s">
        <v>373</v>
      </c>
      <c r="Q37" t="s">
        <v>374</v>
      </c>
      <c r="R37" t="s">
        <v>375</v>
      </c>
      <c r="S37">
        <v>619</v>
      </c>
      <c r="T37" t="s">
        <v>376</v>
      </c>
      <c r="U37" t="s">
        <v>84</v>
      </c>
      <c r="V37" t="s">
        <v>32</v>
      </c>
      <c r="W37" t="s">
        <v>32</v>
      </c>
    </row>
    <row r="38" spans="1:23" x14ac:dyDescent="0.2">
      <c r="A38" t="s">
        <v>377</v>
      </c>
      <c r="B38" t="s">
        <v>377</v>
      </c>
      <c r="C38">
        <v>137</v>
      </c>
      <c r="D38">
        <v>78</v>
      </c>
      <c r="E38" t="s">
        <v>378</v>
      </c>
      <c r="F38" t="s">
        <v>379</v>
      </c>
      <c r="G38" t="s">
        <v>380</v>
      </c>
      <c r="H38" t="s">
        <v>381</v>
      </c>
      <c r="I38" t="s">
        <v>382</v>
      </c>
      <c r="J38" t="s">
        <v>383</v>
      </c>
      <c r="K38" t="s">
        <v>384</v>
      </c>
      <c r="L38" t="s">
        <v>385</v>
      </c>
      <c r="M38">
        <v>0</v>
      </c>
      <c r="N38">
        <v>0</v>
      </c>
      <c r="O38">
        <v>0</v>
      </c>
      <c r="P38" t="s">
        <v>386</v>
      </c>
      <c r="Q38" t="s">
        <v>30</v>
      </c>
      <c r="R38" t="s">
        <v>30</v>
      </c>
      <c r="S38">
        <v>106</v>
      </c>
      <c r="T38" t="s">
        <v>387</v>
      </c>
      <c r="U38" t="s">
        <v>32</v>
      </c>
      <c r="V38" t="s">
        <v>32</v>
      </c>
      <c r="W38" t="s">
        <v>32</v>
      </c>
    </row>
    <row r="39" spans="1:23" x14ac:dyDescent="0.2">
      <c r="A39" t="s">
        <v>388</v>
      </c>
      <c r="B39" t="s">
        <v>389</v>
      </c>
      <c r="C39">
        <v>143</v>
      </c>
      <c r="D39">
        <v>82</v>
      </c>
      <c r="E39" t="s">
        <v>390</v>
      </c>
      <c r="F39" t="s">
        <v>391</v>
      </c>
      <c r="G39" t="s">
        <v>392</v>
      </c>
      <c r="H39" t="s">
        <v>393</v>
      </c>
      <c r="I39" t="s">
        <v>394</v>
      </c>
      <c r="J39" t="s">
        <v>395</v>
      </c>
      <c r="K39" t="s">
        <v>396</v>
      </c>
      <c r="L39" t="s">
        <v>397</v>
      </c>
      <c r="M39">
        <v>1127</v>
      </c>
      <c r="N39">
        <v>19</v>
      </c>
      <c r="O39">
        <v>1.5</v>
      </c>
      <c r="P39" t="s">
        <v>398</v>
      </c>
      <c r="Q39" t="s">
        <v>399</v>
      </c>
      <c r="R39" t="s">
        <v>400</v>
      </c>
      <c r="S39">
        <v>466</v>
      </c>
      <c r="T39" t="s">
        <v>401</v>
      </c>
      <c r="U39" t="s">
        <v>32</v>
      </c>
      <c r="V39" t="s">
        <v>32</v>
      </c>
      <c r="W39" t="s">
        <v>32</v>
      </c>
    </row>
    <row r="40" spans="1:23" x14ac:dyDescent="0.2">
      <c r="A40" t="s">
        <v>402</v>
      </c>
      <c r="B40" t="s">
        <v>402</v>
      </c>
      <c r="C40">
        <v>1792</v>
      </c>
      <c r="D40">
        <v>65</v>
      </c>
      <c r="E40" t="s">
        <v>403</v>
      </c>
      <c r="F40" t="s">
        <v>404</v>
      </c>
      <c r="G40" t="s">
        <v>405</v>
      </c>
      <c r="H40" t="s">
        <v>406</v>
      </c>
      <c r="I40" t="s">
        <v>32</v>
      </c>
      <c r="J40" t="s">
        <v>32</v>
      </c>
      <c r="K40" t="s">
        <v>30</v>
      </c>
      <c r="L40" t="s">
        <v>30</v>
      </c>
      <c r="M40">
        <v>0</v>
      </c>
      <c r="N40">
        <v>0</v>
      </c>
      <c r="O40">
        <v>0</v>
      </c>
      <c r="P40" t="s">
        <v>407</v>
      </c>
      <c r="Q40" t="s">
        <v>30</v>
      </c>
      <c r="R40" t="s">
        <v>30</v>
      </c>
      <c r="S40">
        <v>0</v>
      </c>
      <c r="T40" t="s">
        <v>30</v>
      </c>
      <c r="U40" t="s">
        <v>32</v>
      </c>
      <c r="V40" t="s">
        <v>32</v>
      </c>
      <c r="W40" t="s">
        <v>32</v>
      </c>
    </row>
    <row r="41" spans="1:23" x14ac:dyDescent="0.2">
      <c r="A41" t="s">
        <v>408</v>
      </c>
      <c r="B41" t="s">
        <v>408</v>
      </c>
      <c r="C41">
        <v>314813</v>
      </c>
      <c r="D41">
        <v>7383</v>
      </c>
      <c r="E41" t="s">
        <v>409</v>
      </c>
      <c r="F41" t="s">
        <v>410</v>
      </c>
      <c r="G41" t="s">
        <v>411</v>
      </c>
      <c r="H41" t="s">
        <v>412</v>
      </c>
      <c r="I41" t="s">
        <v>413</v>
      </c>
      <c r="J41" t="s">
        <v>414</v>
      </c>
      <c r="K41" t="s">
        <v>30</v>
      </c>
      <c r="L41" t="s">
        <v>415</v>
      </c>
      <c r="M41">
        <v>0</v>
      </c>
      <c r="N41">
        <v>0</v>
      </c>
      <c r="O41">
        <v>0</v>
      </c>
      <c r="P41" t="s">
        <v>416</v>
      </c>
      <c r="Q41" t="s">
        <v>30</v>
      </c>
      <c r="R41" t="s">
        <v>30</v>
      </c>
      <c r="S41">
        <v>0</v>
      </c>
      <c r="T41" t="s">
        <v>30</v>
      </c>
      <c r="U41" t="s">
        <v>32</v>
      </c>
      <c r="V41" t="s">
        <v>32</v>
      </c>
      <c r="W41" t="s">
        <v>32</v>
      </c>
    </row>
    <row r="42" spans="1:23" x14ac:dyDescent="0.2">
      <c r="A42" t="s">
        <v>417</v>
      </c>
      <c r="B42" t="s">
        <v>417</v>
      </c>
      <c r="C42">
        <v>239</v>
      </c>
      <c r="D42">
        <v>42</v>
      </c>
      <c r="E42" t="s">
        <v>418</v>
      </c>
      <c r="F42" t="s">
        <v>419</v>
      </c>
      <c r="G42" t="s">
        <v>420</v>
      </c>
      <c r="H42" t="s">
        <v>421</v>
      </c>
      <c r="I42" t="s">
        <v>422</v>
      </c>
      <c r="J42" t="s">
        <v>423</v>
      </c>
      <c r="K42" t="s">
        <v>424</v>
      </c>
      <c r="L42" t="s">
        <v>425</v>
      </c>
      <c r="M42">
        <v>431</v>
      </c>
      <c r="N42">
        <v>1</v>
      </c>
      <c r="O42">
        <v>1.75</v>
      </c>
      <c r="P42" t="s">
        <v>426</v>
      </c>
      <c r="Q42" t="s">
        <v>427</v>
      </c>
      <c r="R42" t="s">
        <v>428</v>
      </c>
      <c r="S42">
        <v>238</v>
      </c>
      <c r="T42" t="s">
        <v>428</v>
      </c>
      <c r="U42" t="s">
        <v>32</v>
      </c>
      <c r="V42" t="s">
        <v>32</v>
      </c>
      <c r="W42" t="s">
        <v>32</v>
      </c>
    </row>
    <row r="43" spans="1:23" x14ac:dyDescent="0.2">
      <c r="A43" t="s">
        <v>429</v>
      </c>
      <c r="B43" t="s">
        <v>429</v>
      </c>
      <c r="C43">
        <v>62</v>
      </c>
      <c r="D43">
        <v>36</v>
      </c>
      <c r="E43" t="s">
        <v>430</v>
      </c>
      <c r="F43" t="s">
        <v>431</v>
      </c>
      <c r="G43" t="s">
        <v>432</v>
      </c>
      <c r="H43" t="s">
        <v>433</v>
      </c>
      <c r="I43" t="s">
        <v>434</v>
      </c>
      <c r="J43" t="s">
        <v>435</v>
      </c>
      <c r="K43" t="s">
        <v>436</v>
      </c>
      <c r="L43" t="s">
        <v>437</v>
      </c>
      <c r="M43">
        <v>0</v>
      </c>
      <c r="N43">
        <v>0</v>
      </c>
      <c r="O43">
        <v>0</v>
      </c>
      <c r="P43" t="s">
        <v>438</v>
      </c>
      <c r="Q43" t="s">
        <v>30</v>
      </c>
      <c r="R43" t="s">
        <v>30</v>
      </c>
      <c r="S43">
        <v>151</v>
      </c>
      <c r="T43" t="s">
        <v>439</v>
      </c>
      <c r="U43" t="s">
        <v>32</v>
      </c>
      <c r="V43" t="s">
        <v>32</v>
      </c>
      <c r="W43" t="s">
        <v>32</v>
      </c>
    </row>
    <row r="44" spans="1:23" x14ac:dyDescent="0.2">
      <c r="A44" t="s">
        <v>440</v>
      </c>
      <c r="B44" t="s">
        <v>440</v>
      </c>
      <c r="C44">
        <v>142</v>
      </c>
      <c r="D44">
        <v>42</v>
      </c>
      <c r="E44" t="s">
        <v>441</v>
      </c>
      <c r="F44" t="s">
        <v>442</v>
      </c>
      <c r="G44" t="s">
        <v>443</v>
      </c>
      <c r="H44" t="s">
        <v>444</v>
      </c>
      <c r="I44" t="s">
        <v>445</v>
      </c>
      <c r="J44" t="s">
        <v>446</v>
      </c>
      <c r="K44" t="s">
        <v>447</v>
      </c>
      <c r="L44" t="s">
        <v>448</v>
      </c>
      <c r="M44">
        <v>0</v>
      </c>
      <c r="N44">
        <v>0</v>
      </c>
      <c r="O44">
        <v>0</v>
      </c>
      <c r="P44" t="s">
        <v>449</v>
      </c>
      <c r="Q44" t="s">
        <v>30</v>
      </c>
      <c r="R44" t="s">
        <v>30</v>
      </c>
      <c r="S44">
        <v>578</v>
      </c>
      <c r="T44" t="s">
        <v>450</v>
      </c>
      <c r="U44" t="s">
        <v>32</v>
      </c>
      <c r="V44" t="s">
        <v>32</v>
      </c>
      <c r="W44" t="s">
        <v>32</v>
      </c>
    </row>
    <row r="45" spans="1:23" x14ac:dyDescent="0.2">
      <c r="A45" t="s">
        <v>451</v>
      </c>
      <c r="B45" t="s">
        <v>452</v>
      </c>
      <c r="C45">
        <v>1376</v>
      </c>
      <c r="D45">
        <v>63</v>
      </c>
      <c r="E45" t="s">
        <v>453</v>
      </c>
      <c r="F45" t="s">
        <v>454</v>
      </c>
      <c r="G45" t="s">
        <v>455</v>
      </c>
      <c r="H45" t="s">
        <v>456</v>
      </c>
      <c r="I45" t="s">
        <v>32</v>
      </c>
      <c r="J45" t="s">
        <v>457</v>
      </c>
      <c r="K45" t="s">
        <v>458</v>
      </c>
      <c r="L45" t="s">
        <v>459</v>
      </c>
      <c r="M45">
        <v>207</v>
      </c>
      <c r="N45">
        <v>33</v>
      </c>
      <c r="O45">
        <v>6.87</v>
      </c>
      <c r="P45" t="s">
        <v>460</v>
      </c>
      <c r="Q45" t="s">
        <v>461</v>
      </c>
      <c r="R45" t="s">
        <v>462</v>
      </c>
      <c r="S45">
        <v>0</v>
      </c>
      <c r="T45" t="s">
        <v>30</v>
      </c>
      <c r="U45" t="s">
        <v>32</v>
      </c>
      <c r="V45" t="s">
        <v>32</v>
      </c>
      <c r="W45" t="s">
        <v>32</v>
      </c>
    </row>
    <row r="46" spans="1:23" x14ac:dyDescent="0.2">
      <c r="A46" t="s">
        <v>463</v>
      </c>
      <c r="B46" t="s">
        <v>463</v>
      </c>
      <c r="C46">
        <v>55</v>
      </c>
      <c r="D46">
        <v>18</v>
      </c>
      <c r="E46" t="s">
        <v>464</v>
      </c>
      <c r="F46" t="s">
        <v>465</v>
      </c>
      <c r="G46" t="s">
        <v>466</v>
      </c>
      <c r="H46" t="s">
        <v>467</v>
      </c>
      <c r="I46" t="s">
        <v>468</v>
      </c>
      <c r="J46" t="s">
        <v>469</v>
      </c>
      <c r="K46" t="s">
        <v>470</v>
      </c>
      <c r="L46" t="s">
        <v>471</v>
      </c>
      <c r="M46">
        <v>0</v>
      </c>
      <c r="N46">
        <v>0</v>
      </c>
      <c r="O46">
        <v>0</v>
      </c>
      <c r="P46" t="s">
        <v>472</v>
      </c>
      <c r="Q46" t="s">
        <v>30</v>
      </c>
      <c r="R46" t="s">
        <v>30</v>
      </c>
      <c r="S46">
        <v>23</v>
      </c>
      <c r="T46" t="s">
        <v>473</v>
      </c>
      <c r="U46" t="s">
        <v>474</v>
      </c>
      <c r="V46" t="s">
        <v>32</v>
      </c>
      <c r="W46" t="s">
        <v>32</v>
      </c>
    </row>
    <row r="47" spans="1:23" x14ac:dyDescent="0.2">
      <c r="A47" t="s">
        <v>475</v>
      </c>
      <c r="B47" t="s">
        <v>475</v>
      </c>
      <c r="C47">
        <v>170</v>
      </c>
      <c r="D47">
        <v>18</v>
      </c>
      <c r="E47" t="s">
        <v>476</v>
      </c>
      <c r="F47" t="s">
        <v>477</v>
      </c>
      <c r="G47" t="s">
        <v>478</v>
      </c>
      <c r="H47" t="s">
        <v>479</v>
      </c>
      <c r="I47" t="s">
        <v>480</v>
      </c>
      <c r="J47" t="s">
        <v>481</v>
      </c>
      <c r="K47" t="s">
        <v>482</v>
      </c>
      <c r="L47" t="s">
        <v>483</v>
      </c>
      <c r="M47">
        <v>0</v>
      </c>
      <c r="N47">
        <v>0</v>
      </c>
      <c r="O47">
        <v>0</v>
      </c>
      <c r="P47" t="s">
        <v>484</v>
      </c>
      <c r="Q47" t="s">
        <v>30</v>
      </c>
      <c r="R47" t="s">
        <v>30</v>
      </c>
      <c r="S47">
        <v>14</v>
      </c>
      <c r="T47" t="s">
        <v>485</v>
      </c>
      <c r="U47" t="s">
        <v>32</v>
      </c>
      <c r="V47" t="s">
        <v>32</v>
      </c>
      <c r="W47" t="s">
        <v>32</v>
      </c>
    </row>
    <row r="48" spans="1:23" x14ac:dyDescent="0.2">
      <c r="A48" t="s">
        <v>486</v>
      </c>
      <c r="B48" t="s">
        <v>486</v>
      </c>
      <c r="C48">
        <v>37</v>
      </c>
      <c r="D48">
        <v>37</v>
      </c>
      <c r="E48" t="s">
        <v>487</v>
      </c>
      <c r="F48" t="s">
        <v>488</v>
      </c>
      <c r="G48" t="s">
        <v>487</v>
      </c>
      <c r="H48" t="s">
        <v>488</v>
      </c>
      <c r="I48" t="s">
        <v>489</v>
      </c>
      <c r="J48" t="s">
        <v>490</v>
      </c>
      <c r="K48" t="s">
        <v>491</v>
      </c>
      <c r="L48" t="s">
        <v>491</v>
      </c>
      <c r="M48">
        <v>0</v>
      </c>
      <c r="N48">
        <v>0</v>
      </c>
      <c r="O48">
        <v>0</v>
      </c>
      <c r="P48" t="s">
        <v>492</v>
      </c>
      <c r="Q48" t="s">
        <v>30</v>
      </c>
      <c r="R48" t="s">
        <v>30</v>
      </c>
      <c r="S48">
        <v>91</v>
      </c>
      <c r="T48" t="s">
        <v>493</v>
      </c>
      <c r="U48" t="s">
        <v>32</v>
      </c>
      <c r="V48" t="s">
        <v>32</v>
      </c>
      <c r="W48" t="s">
        <v>32</v>
      </c>
    </row>
    <row r="49" spans="1:23" x14ac:dyDescent="0.2">
      <c r="A49" t="s">
        <v>494</v>
      </c>
      <c r="B49" t="s">
        <v>495</v>
      </c>
      <c r="C49">
        <v>135</v>
      </c>
      <c r="D49">
        <v>44</v>
      </c>
      <c r="E49" t="s">
        <v>496</v>
      </c>
      <c r="F49" t="s">
        <v>497</v>
      </c>
      <c r="G49" t="s">
        <v>498</v>
      </c>
      <c r="H49" t="s">
        <v>499</v>
      </c>
      <c r="I49" t="s">
        <v>117</v>
      </c>
      <c r="J49" t="s">
        <v>500</v>
      </c>
      <c r="K49" t="s">
        <v>501</v>
      </c>
      <c r="L49" t="s">
        <v>502</v>
      </c>
      <c r="M49">
        <v>238</v>
      </c>
      <c r="N49">
        <v>16</v>
      </c>
      <c r="O49">
        <v>0.67</v>
      </c>
      <c r="P49" t="s">
        <v>503</v>
      </c>
      <c r="Q49" t="s">
        <v>504</v>
      </c>
      <c r="R49" t="s">
        <v>505</v>
      </c>
      <c r="S49">
        <v>262</v>
      </c>
      <c r="T49" t="s">
        <v>505</v>
      </c>
      <c r="U49" t="s">
        <v>32</v>
      </c>
      <c r="V49" t="s">
        <v>32</v>
      </c>
      <c r="W49" t="s">
        <v>32</v>
      </c>
    </row>
    <row r="50" spans="1:23" x14ac:dyDescent="0.2">
      <c r="A50" t="s">
        <v>506</v>
      </c>
      <c r="B50" t="s">
        <v>506</v>
      </c>
      <c r="C50">
        <v>117</v>
      </c>
      <c r="D50">
        <v>44</v>
      </c>
      <c r="E50" t="s">
        <v>507</v>
      </c>
      <c r="F50" t="s">
        <v>508</v>
      </c>
      <c r="G50" t="s">
        <v>509</v>
      </c>
      <c r="H50" t="s">
        <v>510</v>
      </c>
      <c r="I50" t="s">
        <v>511</v>
      </c>
      <c r="J50" t="s">
        <v>512</v>
      </c>
      <c r="K50" t="s">
        <v>513</v>
      </c>
      <c r="L50" t="s">
        <v>514</v>
      </c>
      <c r="M50">
        <v>131</v>
      </c>
      <c r="N50">
        <v>0</v>
      </c>
      <c r="O50">
        <v>0</v>
      </c>
      <c r="P50" t="s">
        <v>515</v>
      </c>
      <c r="Q50" t="s">
        <v>30</v>
      </c>
      <c r="R50" t="s">
        <v>516</v>
      </c>
      <c r="S50">
        <v>213</v>
      </c>
      <c r="T50" t="s">
        <v>517</v>
      </c>
      <c r="U50" t="s">
        <v>32</v>
      </c>
      <c r="V50" t="s">
        <v>32</v>
      </c>
      <c r="W50" t="s">
        <v>32</v>
      </c>
    </row>
    <row r="51" spans="1:23" x14ac:dyDescent="0.2">
      <c r="A51" t="s">
        <v>518</v>
      </c>
      <c r="B51" t="s">
        <v>519</v>
      </c>
      <c r="C51">
        <v>106</v>
      </c>
      <c r="D51">
        <v>27</v>
      </c>
      <c r="E51" t="s">
        <v>520</v>
      </c>
      <c r="F51" t="s">
        <v>521</v>
      </c>
      <c r="G51" t="s">
        <v>522</v>
      </c>
      <c r="H51" t="s">
        <v>523</v>
      </c>
      <c r="I51" t="s">
        <v>160</v>
      </c>
      <c r="J51" t="s">
        <v>524</v>
      </c>
      <c r="K51" t="s">
        <v>525</v>
      </c>
      <c r="L51" t="s">
        <v>526</v>
      </c>
      <c r="M51">
        <v>201</v>
      </c>
      <c r="N51">
        <v>20</v>
      </c>
      <c r="O51">
        <v>2.97</v>
      </c>
      <c r="P51" t="s">
        <v>527</v>
      </c>
      <c r="Q51" t="s">
        <v>528</v>
      </c>
      <c r="R51" t="s">
        <v>529</v>
      </c>
      <c r="S51">
        <v>41</v>
      </c>
      <c r="T51" t="s">
        <v>530</v>
      </c>
      <c r="U51" t="s">
        <v>32</v>
      </c>
      <c r="V51" t="s">
        <v>32</v>
      </c>
      <c r="W51" t="s">
        <v>32</v>
      </c>
    </row>
    <row r="52" spans="1:23" x14ac:dyDescent="0.2">
      <c r="A52" t="s">
        <v>531</v>
      </c>
      <c r="B52" t="s">
        <v>531</v>
      </c>
      <c r="C52">
        <v>1792</v>
      </c>
      <c r="D52">
        <v>64</v>
      </c>
      <c r="E52" t="s">
        <v>532</v>
      </c>
      <c r="F52" t="s">
        <v>533</v>
      </c>
      <c r="G52" t="s">
        <v>534</v>
      </c>
      <c r="H52" t="s">
        <v>535</v>
      </c>
      <c r="I52" t="s">
        <v>32</v>
      </c>
      <c r="J52" t="s">
        <v>536</v>
      </c>
      <c r="K52" t="s">
        <v>537</v>
      </c>
      <c r="L52" t="s">
        <v>538</v>
      </c>
      <c r="M52">
        <v>0</v>
      </c>
      <c r="N52">
        <v>0</v>
      </c>
      <c r="O52">
        <v>0</v>
      </c>
      <c r="P52" t="s">
        <v>539</v>
      </c>
      <c r="Q52" t="s">
        <v>30</v>
      </c>
      <c r="R52" t="s">
        <v>30</v>
      </c>
      <c r="S52">
        <v>0</v>
      </c>
      <c r="T52" t="s">
        <v>30</v>
      </c>
      <c r="U52" t="s">
        <v>32</v>
      </c>
      <c r="V52" t="s">
        <v>32</v>
      </c>
      <c r="W52" t="s">
        <v>32</v>
      </c>
    </row>
    <row r="53" spans="1:23" x14ac:dyDescent="0.2">
      <c r="A53" t="s">
        <v>540</v>
      </c>
      <c r="B53" t="s">
        <v>540</v>
      </c>
      <c r="C53">
        <v>127</v>
      </c>
      <c r="D53">
        <v>34</v>
      </c>
      <c r="E53" t="s">
        <v>541</v>
      </c>
      <c r="F53" t="s">
        <v>542</v>
      </c>
      <c r="G53" t="s">
        <v>543</v>
      </c>
      <c r="H53" t="s">
        <v>544</v>
      </c>
      <c r="I53" t="s">
        <v>545</v>
      </c>
      <c r="J53" t="s">
        <v>546</v>
      </c>
      <c r="K53" t="s">
        <v>547</v>
      </c>
      <c r="L53" t="s">
        <v>548</v>
      </c>
      <c r="M53">
        <v>0</v>
      </c>
      <c r="N53">
        <v>0</v>
      </c>
      <c r="O53">
        <v>0</v>
      </c>
      <c r="P53" t="s">
        <v>549</v>
      </c>
      <c r="Q53" t="s">
        <v>30</v>
      </c>
      <c r="R53" t="s">
        <v>30</v>
      </c>
      <c r="S53">
        <v>92</v>
      </c>
      <c r="T53" t="s">
        <v>550</v>
      </c>
      <c r="U53" t="s">
        <v>32</v>
      </c>
      <c r="V53" t="s">
        <v>32</v>
      </c>
      <c r="W53" t="s">
        <v>32</v>
      </c>
    </row>
    <row r="54" spans="1:23" x14ac:dyDescent="0.2">
      <c r="A54" t="s">
        <v>551</v>
      </c>
      <c r="B54" t="s">
        <v>552</v>
      </c>
      <c r="C54">
        <v>128</v>
      </c>
      <c r="D54">
        <v>83</v>
      </c>
      <c r="E54" t="s">
        <v>553</v>
      </c>
      <c r="F54" t="s">
        <v>554</v>
      </c>
      <c r="G54" t="s">
        <v>555</v>
      </c>
      <c r="H54" t="s">
        <v>556</v>
      </c>
      <c r="I54" t="s">
        <v>557</v>
      </c>
      <c r="J54" t="s">
        <v>558</v>
      </c>
      <c r="K54" t="s">
        <v>559</v>
      </c>
      <c r="L54" t="s">
        <v>560</v>
      </c>
      <c r="M54">
        <v>887</v>
      </c>
      <c r="N54">
        <v>9</v>
      </c>
      <c r="O54">
        <v>0.3</v>
      </c>
      <c r="P54" t="s">
        <v>561</v>
      </c>
      <c r="Q54" t="s">
        <v>562</v>
      </c>
      <c r="R54" t="s">
        <v>563</v>
      </c>
      <c r="S54">
        <v>350</v>
      </c>
      <c r="T54" t="s">
        <v>564</v>
      </c>
      <c r="U54" t="s">
        <v>32</v>
      </c>
      <c r="V54" t="s">
        <v>32</v>
      </c>
      <c r="W54" t="s">
        <v>32</v>
      </c>
    </row>
    <row r="55" spans="1:23" x14ac:dyDescent="0.2">
      <c r="A55" t="s">
        <v>565</v>
      </c>
      <c r="B55" t="s">
        <v>565</v>
      </c>
      <c r="C55">
        <v>220</v>
      </c>
      <c r="D55">
        <v>45</v>
      </c>
      <c r="E55" t="s">
        <v>566</v>
      </c>
      <c r="F55" t="s">
        <v>567</v>
      </c>
      <c r="G55" t="s">
        <v>568</v>
      </c>
      <c r="H55" t="s">
        <v>569</v>
      </c>
      <c r="I55" t="s">
        <v>570</v>
      </c>
      <c r="J55" t="s">
        <v>571</v>
      </c>
      <c r="K55" t="s">
        <v>572</v>
      </c>
      <c r="L55" t="s">
        <v>573</v>
      </c>
      <c r="M55">
        <v>0</v>
      </c>
      <c r="N55">
        <v>0</v>
      </c>
      <c r="O55">
        <v>0</v>
      </c>
      <c r="P55" t="s">
        <v>574</v>
      </c>
      <c r="Q55" t="s">
        <v>30</v>
      </c>
      <c r="R55" t="s">
        <v>30</v>
      </c>
      <c r="S55">
        <v>424</v>
      </c>
      <c r="T55" t="s">
        <v>575</v>
      </c>
      <c r="U55" t="s">
        <v>576</v>
      </c>
      <c r="V55" t="s">
        <v>32</v>
      </c>
      <c r="W55" t="s">
        <v>32</v>
      </c>
    </row>
    <row r="56" spans="1:23" x14ac:dyDescent="0.2">
      <c r="A56" t="s">
        <v>577</v>
      </c>
      <c r="B56" t="s">
        <v>577</v>
      </c>
      <c r="C56">
        <v>147</v>
      </c>
      <c r="D56">
        <v>78</v>
      </c>
      <c r="E56" t="s">
        <v>578</v>
      </c>
      <c r="F56" t="s">
        <v>579</v>
      </c>
      <c r="G56" t="s">
        <v>580</v>
      </c>
      <c r="H56" t="s">
        <v>581</v>
      </c>
      <c r="I56" t="s">
        <v>582</v>
      </c>
      <c r="J56" t="s">
        <v>583</v>
      </c>
      <c r="K56" t="s">
        <v>584</v>
      </c>
      <c r="L56" t="s">
        <v>585</v>
      </c>
      <c r="M56">
        <v>0</v>
      </c>
      <c r="N56">
        <v>0</v>
      </c>
      <c r="O56">
        <v>0</v>
      </c>
      <c r="P56" t="s">
        <v>586</v>
      </c>
      <c r="Q56" t="s">
        <v>30</v>
      </c>
      <c r="R56" t="s">
        <v>30</v>
      </c>
      <c r="S56">
        <v>409</v>
      </c>
      <c r="T56" t="s">
        <v>587</v>
      </c>
      <c r="U56" t="s">
        <v>32</v>
      </c>
      <c r="V56" t="s">
        <v>32</v>
      </c>
      <c r="W56" t="s">
        <v>32</v>
      </c>
    </row>
    <row r="57" spans="1:23" x14ac:dyDescent="0.2">
      <c r="A57" t="s">
        <v>588</v>
      </c>
      <c r="B57" t="s">
        <v>589</v>
      </c>
      <c r="C57">
        <v>1345</v>
      </c>
      <c r="D57">
        <v>63</v>
      </c>
      <c r="E57" t="s">
        <v>590</v>
      </c>
      <c r="F57" t="s">
        <v>591</v>
      </c>
      <c r="G57" t="s">
        <v>592</v>
      </c>
      <c r="H57" t="s">
        <v>593</v>
      </c>
      <c r="I57" t="s">
        <v>594</v>
      </c>
      <c r="J57" t="s">
        <v>595</v>
      </c>
      <c r="K57" t="s">
        <v>191</v>
      </c>
      <c r="L57" t="s">
        <v>596</v>
      </c>
      <c r="M57">
        <v>0</v>
      </c>
      <c r="N57">
        <v>0</v>
      </c>
      <c r="O57">
        <v>0</v>
      </c>
      <c r="P57" t="s">
        <v>597</v>
      </c>
      <c r="Q57" t="s">
        <v>30</v>
      </c>
      <c r="R57" t="s">
        <v>30</v>
      </c>
      <c r="S57">
        <v>0</v>
      </c>
      <c r="T57" t="s">
        <v>30</v>
      </c>
      <c r="U57" t="s">
        <v>32</v>
      </c>
      <c r="V57" t="s">
        <v>32</v>
      </c>
      <c r="W57" t="s">
        <v>32</v>
      </c>
    </row>
    <row r="58" spans="1:23" x14ac:dyDescent="0.2">
      <c r="A58" t="s">
        <v>598</v>
      </c>
      <c r="B58" t="s">
        <v>598</v>
      </c>
      <c r="C58">
        <v>904</v>
      </c>
      <c r="D58">
        <v>64</v>
      </c>
      <c r="E58" t="s">
        <v>599</v>
      </c>
      <c r="F58" t="s">
        <v>600</v>
      </c>
      <c r="G58" t="s">
        <v>601</v>
      </c>
      <c r="H58" t="s">
        <v>602</v>
      </c>
      <c r="I58" t="s">
        <v>603</v>
      </c>
      <c r="J58" t="s">
        <v>604</v>
      </c>
      <c r="K58" t="s">
        <v>605</v>
      </c>
      <c r="L58" t="s">
        <v>606</v>
      </c>
      <c r="M58">
        <v>0</v>
      </c>
      <c r="N58">
        <v>0</v>
      </c>
      <c r="O58">
        <v>0</v>
      </c>
      <c r="P58" t="s">
        <v>607</v>
      </c>
      <c r="Q58" t="s">
        <v>30</v>
      </c>
      <c r="R58" t="s">
        <v>30</v>
      </c>
      <c r="S58">
        <v>0</v>
      </c>
      <c r="T58" t="s">
        <v>30</v>
      </c>
      <c r="U58" t="s">
        <v>32</v>
      </c>
      <c r="V58" t="s">
        <v>32</v>
      </c>
      <c r="W58" t="s">
        <v>32</v>
      </c>
    </row>
    <row r="59" spans="1:23" x14ac:dyDescent="0.2">
      <c r="A59" t="s">
        <v>608</v>
      </c>
      <c r="B59" t="s">
        <v>609</v>
      </c>
      <c r="C59">
        <v>108</v>
      </c>
      <c r="D59">
        <v>79</v>
      </c>
      <c r="E59" t="s">
        <v>610</v>
      </c>
      <c r="F59" t="s">
        <v>611</v>
      </c>
      <c r="G59" t="s">
        <v>612</v>
      </c>
      <c r="H59" t="s">
        <v>613</v>
      </c>
      <c r="I59" t="s">
        <v>614</v>
      </c>
      <c r="J59" t="s">
        <v>615</v>
      </c>
      <c r="K59" t="s">
        <v>616</v>
      </c>
      <c r="L59" t="s">
        <v>617</v>
      </c>
      <c r="M59">
        <v>908</v>
      </c>
      <c r="N59">
        <v>45</v>
      </c>
      <c r="O59">
        <v>3.45</v>
      </c>
      <c r="P59" t="s">
        <v>618</v>
      </c>
      <c r="Q59" t="s">
        <v>619</v>
      </c>
      <c r="R59" t="s">
        <v>620</v>
      </c>
      <c r="S59">
        <v>331</v>
      </c>
      <c r="T59" t="s">
        <v>621</v>
      </c>
      <c r="U59" t="s">
        <v>32</v>
      </c>
      <c r="V59" t="s">
        <v>32</v>
      </c>
      <c r="W59" t="s">
        <v>32</v>
      </c>
    </row>
    <row r="60" spans="1:23" x14ac:dyDescent="0.2">
      <c r="A60" t="s">
        <v>622</v>
      </c>
      <c r="B60" t="s">
        <v>623</v>
      </c>
      <c r="C60">
        <v>1377</v>
      </c>
      <c r="D60">
        <v>61</v>
      </c>
      <c r="E60" t="s">
        <v>624</v>
      </c>
      <c r="F60" t="s">
        <v>625</v>
      </c>
      <c r="G60" t="s">
        <v>626</v>
      </c>
      <c r="H60" t="s">
        <v>627</v>
      </c>
      <c r="I60" t="s">
        <v>628</v>
      </c>
      <c r="J60" t="s">
        <v>629</v>
      </c>
      <c r="K60" t="s">
        <v>630</v>
      </c>
      <c r="L60" t="s">
        <v>631</v>
      </c>
      <c r="M60">
        <v>0</v>
      </c>
      <c r="N60">
        <v>0</v>
      </c>
      <c r="O60">
        <v>0</v>
      </c>
      <c r="P60" t="s">
        <v>632</v>
      </c>
      <c r="Q60" t="s">
        <v>30</v>
      </c>
      <c r="R60" t="s">
        <v>30</v>
      </c>
      <c r="S60">
        <v>0</v>
      </c>
      <c r="T60" t="s">
        <v>30</v>
      </c>
      <c r="U60" t="s">
        <v>32</v>
      </c>
      <c r="V60" t="s">
        <v>32</v>
      </c>
      <c r="W60" t="s">
        <v>32</v>
      </c>
    </row>
    <row r="61" spans="1:23" x14ac:dyDescent="0.2">
      <c r="A61" t="s">
        <v>633</v>
      </c>
      <c r="B61" t="s">
        <v>634</v>
      </c>
      <c r="C61">
        <v>137</v>
      </c>
      <c r="D61">
        <v>43</v>
      </c>
      <c r="E61" t="s">
        <v>635</v>
      </c>
      <c r="F61" t="s">
        <v>636</v>
      </c>
      <c r="G61" t="s">
        <v>637</v>
      </c>
      <c r="H61" t="s">
        <v>638</v>
      </c>
      <c r="I61" t="s">
        <v>639</v>
      </c>
      <c r="J61" t="s">
        <v>640</v>
      </c>
      <c r="K61" t="s">
        <v>641</v>
      </c>
      <c r="L61" t="s">
        <v>642</v>
      </c>
      <c r="M61">
        <v>275</v>
      </c>
      <c r="N61">
        <v>3</v>
      </c>
      <c r="O61">
        <v>2.87</v>
      </c>
      <c r="P61" t="s">
        <v>643</v>
      </c>
      <c r="Q61" t="s">
        <v>644</v>
      </c>
      <c r="R61" t="s">
        <v>645</v>
      </c>
      <c r="S61">
        <v>92</v>
      </c>
      <c r="T61" t="s">
        <v>646</v>
      </c>
      <c r="U61" t="s">
        <v>32</v>
      </c>
      <c r="V61" t="s">
        <v>32</v>
      </c>
      <c r="W61" t="s">
        <v>32</v>
      </c>
    </row>
    <row r="62" spans="1:23" x14ac:dyDescent="0.2">
      <c r="A62" t="s">
        <v>647</v>
      </c>
      <c r="B62" t="s">
        <v>648</v>
      </c>
      <c r="C62">
        <v>21</v>
      </c>
      <c r="D62">
        <v>21</v>
      </c>
      <c r="E62" t="s">
        <v>649</v>
      </c>
      <c r="F62" t="s">
        <v>650</v>
      </c>
      <c r="G62" t="s">
        <v>649</v>
      </c>
      <c r="H62" t="s">
        <v>650</v>
      </c>
      <c r="I62" t="s">
        <v>651</v>
      </c>
      <c r="J62" t="s">
        <v>652</v>
      </c>
      <c r="K62" t="s">
        <v>653</v>
      </c>
      <c r="L62" t="s">
        <v>653</v>
      </c>
      <c r="M62">
        <v>254</v>
      </c>
      <c r="N62">
        <v>5</v>
      </c>
      <c r="O62">
        <v>0.63</v>
      </c>
      <c r="P62" t="s">
        <v>654</v>
      </c>
      <c r="Q62" t="s">
        <v>655</v>
      </c>
      <c r="R62" t="s">
        <v>154</v>
      </c>
      <c r="S62">
        <v>95</v>
      </c>
      <c r="T62" t="s">
        <v>154</v>
      </c>
      <c r="U62" t="s">
        <v>32</v>
      </c>
      <c r="V62" t="s">
        <v>32</v>
      </c>
      <c r="W62" t="s">
        <v>32</v>
      </c>
    </row>
    <row r="63" spans="1:23" x14ac:dyDescent="0.2">
      <c r="A63" t="s">
        <v>656</v>
      </c>
      <c r="B63" t="s">
        <v>656</v>
      </c>
      <c r="C63">
        <v>145</v>
      </c>
      <c r="D63">
        <v>74</v>
      </c>
      <c r="E63" t="s">
        <v>657</v>
      </c>
      <c r="F63" t="s">
        <v>658</v>
      </c>
      <c r="G63" t="s">
        <v>659</v>
      </c>
      <c r="H63" t="s">
        <v>660</v>
      </c>
      <c r="I63" t="s">
        <v>661</v>
      </c>
      <c r="J63" t="s">
        <v>662</v>
      </c>
      <c r="K63" t="s">
        <v>663</v>
      </c>
      <c r="L63" t="s">
        <v>664</v>
      </c>
      <c r="M63">
        <v>0</v>
      </c>
      <c r="N63">
        <v>0</v>
      </c>
      <c r="O63">
        <v>0</v>
      </c>
      <c r="P63" t="s">
        <v>665</v>
      </c>
      <c r="Q63" t="s">
        <v>30</v>
      </c>
      <c r="R63" t="s">
        <v>30</v>
      </c>
      <c r="S63">
        <v>706</v>
      </c>
      <c r="T63" t="s">
        <v>666</v>
      </c>
      <c r="U63" t="s">
        <v>32</v>
      </c>
      <c r="V63" t="s">
        <v>32</v>
      </c>
      <c r="W63" t="s">
        <v>32</v>
      </c>
    </row>
    <row r="64" spans="1:23" x14ac:dyDescent="0.2">
      <c r="A64" t="s">
        <v>667</v>
      </c>
      <c r="B64" t="s">
        <v>668</v>
      </c>
      <c r="C64">
        <v>78</v>
      </c>
      <c r="D64">
        <v>44</v>
      </c>
      <c r="E64" t="s">
        <v>669</v>
      </c>
      <c r="F64" t="s">
        <v>670</v>
      </c>
      <c r="G64" t="s">
        <v>671</v>
      </c>
      <c r="H64" t="s">
        <v>672</v>
      </c>
      <c r="I64" t="s">
        <v>673</v>
      </c>
      <c r="J64" t="s">
        <v>674</v>
      </c>
      <c r="K64" t="s">
        <v>675</v>
      </c>
      <c r="L64" t="s">
        <v>676</v>
      </c>
      <c r="M64">
        <v>3</v>
      </c>
      <c r="N64">
        <v>0</v>
      </c>
      <c r="O64">
        <v>0</v>
      </c>
      <c r="P64" t="s">
        <v>677</v>
      </c>
      <c r="Q64" t="s">
        <v>30</v>
      </c>
      <c r="R64" t="s">
        <v>678</v>
      </c>
      <c r="S64">
        <v>260</v>
      </c>
      <c r="T64" t="s">
        <v>679</v>
      </c>
      <c r="U64" t="s">
        <v>32</v>
      </c>
      <c r="V64" t="s">
        <v>32</v>
      </c>
      <c r="W64" t="s">
        <v>32</v>
      </c>
    </row>
    <row r="65" spans="1:23" x14ac:dyDescent="0.2">
      <c r="A65" t="s">
        <v>680</v>
      </c>
      <c r="B65" t="s">
        <v>681</v>
      </c>
      <c r="C65">
        <v>27</v>
      </c>
      <c r="D65">
        <v>27</v>
      </c>
      <c r="E65" t="s">
        <v>682</v>
      </c>
      <c r="F65" t="s">
        <v>683</v>
      </c>
      <c r="G65" t="s">
        <v>682</v>
      </c>
      <c r="H65" t="s">
        <v>683</v>
      </c>
      <c r="I65" t="s">
        <v>684</v>
      </c>
      <c r="J65" t="s">
        <v>685</v>
      </c>
      <c r="K65" t="s">
        <v>686</v>
      </c>
      <c r="L65" t="s">
        <v>686</v>
      </c>
      <c r="M65">
        <v>208</v>
      </c>
      <c r="N65">
        <v>0</v>
      </c>
      <c r="O65">
        <v>0</v>
      </c>
      <c r="P65" t="s">
        <v>687</v>
      </c>
      <c r="Q65" t="s">
        <v>30</v>
      </c>
      <c r="R65" t="s">
        <v>688</v>
      </c>
      <c r="S65">
        <v>77</v>
      </c>
      <c r="T65" t="s">
        <v>154</v>
      </c>
      <c r="U65" t="s">
        <v>32</v>
      </c>
      <c r="V65" t="s">
        <v>32</v>
      </c>
      <c r="W65" t="s">
        <v>32</v>
      </c>
    </row>
    <row r="66" spans="1:23" x14ac:dyDescent="0.2">
      <c r="A66" t="s">
        <v>689</v>
      </c>
      <c r="B66" t="s">
        <v>690</v>
      </c>
      <c r="C66">
        <v>1361</v>
      </c>
      <c r="D66">
        <v>63</v>
      </c>
      <c r="E66" t="s">
        <v>691</v>
      </c>
      <c r="F66" t="s">
        <v>692</v>
      </c>
      <c r="G66" t="s">
        <v>693</v>
      </c>
      <c r="H66" t="s">
        <v>694</v>
      </c>
      <c r="I66" t="s">
        <v>32</v>
      </c>
      <c r="J66" t="s">
        <v>695</v>
      </c>
      <c r="K66" t="s">
        <v>696</v>
      </c>
      <c r="L66" t="s">
        <v>697</v>
      </c>
      <c r="M66">
        <v>422</v>
      </c>
      <c r="N66">
        <v>66</v>
      </c>
      <c r="O66">
        <v>17.079999999999998</v>
      </c>
      <c r="P66" t="s">
        <v>698</v>
      </c>
      <c r="Q66" t="s">
        <v>699</v>
      </c>
      <c r="R66" t="s">
        <v>700</v>
      </c>
      <c r="S66">
        <v>0</v>
      </c>
      <c r="T66" t="s">
        <v>30</v>
      </c>
      <c r="U66" t="s">
        <v>32</v>
      </c>
      <c r="V66" t="s">
        <v>32</v>
      </c>
      <c r="W66" t="s">
        <v>32</v>
      </c>
    </row>
    <row r="67" spans="1:23" x14ac:dyDescent="0.2">
      <c r="A67" t="s">
        <v>701</v>
      </c>
      <c r="B67" t="s">
        <v>701</v>
      </c>
      <c r="C67">
        <v>132</v>
      </c>
      <c r="D67">
        <v>73</v>
      </c>
      <c r="E67" t="s">
        <v>702</v>
      </c>
      <c r="F67" t="s">
        <v>703</v>
      </c>
      <c r="G67" t="s">
        <v>704</v>
      </c>
      <c r="H67" t="s">
        <v>705</v>
      </c>
      <c r="I67" t="s">
        <v>706</v>
      </c>
      <c r="J67" t="s">
        <v>707</v>
      </c>
      <c r="K67" t="s">
        <v>708</v>
      </c>
      <c r="L67" t="s">
        <v>709</v>
      </c>
      <c r="M67">
        <v>1394</v>
      </c>
      <c r="N67">
        <v>125</v>
      </c>
      <c r="O67">
        <v>17.420000000000002</v>
      </c>
      <c r="P67" t="s">
        <v>710</v>
      </c>
      <c r="Q67" t="s">
        <v>711</v>
      </c>
      <c r="R67" t="s">
        <v>712</v>
      </c>
      <c r="S67">
        <v>335</v>
      </c>
      <c r="T67" t="s">
        <v>713</v>
      </c>
      <c r="U67" t="s">
        <v>32</v>
      </c>
      <c r="V67" t="s">
        <v>32</v>
      </c>
      <c r="W67" t="s">
        <v>32</v>
      </c>
    </row>
    <row r="68" spans="1:23" x14ac:dyDescent="0.2">
      <c r="A68" t="s">
        <v>714</v>
      </c>
      <c r="B68" t="s">
        <v>715</v>
      </c>
      <c r="C68">
        <v>1366</v>
      </c>
      <c r="D68">
        <v>62</v>
      </c>
      <c r="E68" t="s">
        <v>716</v>
      </c>
      <c r="F68" t="s">
        <v>717</v>
      </c>
      <c r="G68" t="s">
        <v>718</v>
      </c>
      <c r="H68" t="s">
        <v>719</v>
      </c>
      <c r="I68" t="s">
        <v>720</v>
      </c>
      <c r="J68" t="s">
        <v>721</v>
      </c>
      <c r="K68" t="s">
        <v>201</v>
      </c>
      <c r="L68" t="s">
        <v>722</v>
      </c>
      <c r="M68">
        <v>546</v>
      </c>
      <c r="N68">
        <v>24</v>
      </c>
      <c r="O68">
        <v>2.73</v>
      </c>
      <c r="P68" t="s">
        <v>723</v>
      </c>
      <c r="Q68" t="s">
        <v>724</v>
      </c>
      <c r="R68" t="s">
        <v>725</v>
      </c>
      <c r="S68">
        <v>0</v>
      </c>
      <c r="T68" t="s">
        <v>30</v>
      </c>
      <c r="U68" t="s">
        <v>32</v>
      </c>
      <c r="V68" t="s">
        <v>32</v>
      </c>
      <c r="W68" t="s">
        <v>32</v>
      </c>
    </row>
    <row r="69" spans="1:23" x14ac:dyDescent="0.2">
      <c r="A69" t="s">
        <v>726</v>
      </c>
      <c r="B69" t="s">
        <v>726</v>
      </c>
      <c r="C69">
        <v>76</v>
      </c>
      <c r="D69">
        <v>41</v>
      </c>
      <c r="E69" t="s">
        <v>727</v>
      </c>
      <c r="F69" t="s">
        <v>728</v>
      </c>
      <c r="G69" t="s">
        <v>729</v>
      </c>
      <c r="H69" t="s">
        <v>730</v>
      </c>
      <c r="I69" t="s">
        <v>731</v>
      </c>
      <c r="J69" t="s">
        <v>732</v>
      </c>
      <c r="K69" t="s">
        <v>733</v>
      </c>
      <c r="L69" t="s">
        <v>734</v>
      </c>
      <c r="M69">
        <v>0</v>
      </c>
      <c r="N69">
        <v>0</v>
      </c>
      <c r="O69">
        <v>0</v>
      </c>
      <c r="P69" t="s">
        <v>735</v>
      </c>
      <c r="Q69" t="s">
        <v>30</v>
      </c>
      <c r="R69" t="s">
        <v>30</v>
      </c>
      <c r="S69">
        <v>96</v>
      </c>
      <c r="T69" t="s">
        <v>736</v>
      </c>
      <c r="U69" t="s">
        <v>32</v>
      </c>
      <c r="V69" t="s">
        <v>32</v>
      </c>
      <c r="W69" t="s">
        <v>32</v>
      </c>
    </row>
    <row r="70" spans="1:23" x14ac:dyDescent="0.2">
      <c r="A70" t="s">
        <v>737</v>
      </c>
      <c r="B70" t="s">
        <v>737</v>
      </c>
      <c r="C70">
        <v>143</v>
      </c>
      <c r="D70">
        <v>31</v>
      </c>
      <c r="E70" t="s">
        <v>738</v>
      </c>
      <c r="F70" t="s">
        <v>739</v>
      </c>
      <c r="G70" t="s">
        <v>740</v>
      </c>
      <c r="H70" t="s">
        <v>741</v>
      </c>
      <c r="I70" t="s">
        <v>742</v>
      </c>
      <c r="J70" t="s">
        <v>743</v>
      </c>
      <c r="K70" t="s">
        <v>744</v>
      </c>
      <c r="L70" t="s">
        <v>51</v>
      </c>
      <c r="M70">
        <v>0</v>
      </c>
      <c r="N70">
        <v>0</v>
      </c>
      <c r="O70">
        <v>0</v>
      </c>
      <c r="P70" t="s">
        <v>745</v>
      </c>
      <c r="Q70" t="s">
        <v>30</v>
      </c>
      <c r="R70" t="s">
        <v>30</v>
      </c>
      <c r="S70">
        <v>63</v>
      </c>
      <c r="T70" t="s">
        <v>746</v>
      </c>
      <c r="U70" t="s">
        <v>32</v>
      </c>
      <c r="V70" t="s">
        <v>32</v>
      </c>
      <c r="W70" t="s">
        <v>32</v>
      </c>
    </row>
    <row r="71" spans="1:23" x14ac:dyDescent="0.2">
      <c r="A71" t="s">
        <v>747</v>
      </c>
      <c r="B71" t="s">
        <v>747</v>
      </c>
      <c r="C71">
        <v>113</v>
      </c>
      <c r="D71">
        <v>66</v>
      </c>
      <c r="E71" t="s">
        <v>748</v>
      </c>
      <c r="F71" t="s">
        <v>749</v>
      </c>
      <c r="G71" t="s">
        <v>750</v>
      </c>
      <c r="H71" t="s">
        <v>751</v>
      </c>
      <c r="I71" t="s">
        <v>752</v>
      </c>
      <c r="J71" t="s">
        <v>753</v>
      </c>
      <c r="K71" t="s">
        <v>754</v>
      </c>
      <c r="L71" t="s">
        <v>755</v>
      </c>
      <c r="M71">
        <v>0</v>
      </c>
      <c r="N71">
        <v>0</v>
      </c>
      <c r="O71">
        <v>0</v>
      </c>
      <c r="P71" t="s">
        <v>756</v>
      </c>
      <c r="Q71" t="s">
        <v>30</v>
      </c>
      <c r="R71" t="s">
        <v>30</v>
      </c>
      <c r="S71">
        <v>48</v>
      </c>
      <c r="T71" t="s">
        <v>757</v>
      </c>
      <c r="U71" t="s">
        <v>32</v>
      </c>
      <c r="V71" t="s">
        <v>32</v>
      </c>
      <c r="W71" t="s">
        <v>32</v>
      </c>
    </row>
    <row r="72" spans="1:23" x14ac:dyDescent="0.2">
      <c r="A72" t="s">
        <v>758</v>
      </c>
      <c r="B72" t="s">
        <v>758</v>
      </c>
      <c r="C72">
        <v>1860</v>
      </c>
      <c r="D72">
        <v>51</v>
      </c>
      <c r="E72" t="s">
        <v>759</v>
      </c>
      <c r="F72" t="s">
        <v>760</v>
      </c>
      <c r="G72" t="s">
        <v>761</v>
      </c>
      <c r="H72" t="s">
        <v>762</v>
      </c>
      <c r="I72" t="s">
        <v>32</v>
      </c>
      <c r="J72" t="s">
        <v>32</v>
      </c>
      <c r="K72" t="s">
        <v>30</v>
      </c>
      <c r="L72" t="s">
        <v>30</v>
      </c>
      <c r="M72">
        <v>0</v>
      </c>
      <c r="N72">
        <v>0</v>
      </c>
      <c r="O72">
        <v>0</v>
      </c>
      <c r="P72" t="s">
        <v>763</v>
      </c>
      <c r="Q72" t="s">
        <v>30</v>
      </c>
      <c r="R72" t="s">
        <v>30</v>
      </c>
      <c r="S72">
        <v>0</v>
      </c>
      <c r="T72" t="s">
        <v>30</v>
      </c>
      <c r="U72" t="s">
        <v>32</v>
      </c>
      <c r="V72" t="s">
        <v>32</v>
      </c>
      <c r="W72" t="s">
        <v>32</v>
      </c>
    </row>
    <row r="73" spans="1:23" x14ac:dyDescent="0.2">
      <c r="A73" t="s">
        <v>3891</v>
      </c>
      <c r="B73" t="s">
        <v>3891</v>
      </c>
      <c r="C73">
        <v>23</v>
      </c>
      <c r="D73">
        <v>23</v>
      </c>
      <c r="E73" t="s">
        <v>764</v>
      </c>
      <c r="F73" t="s">
        <v>765</v>
      </c>
      <c r="G73">
        <f>49668929+5988288</f>
        <v>55657217</v>
      </c>
      <c r="H73" t="s">
        <v>765</v>
      </c>
      <c r="I73" t="s">
        <v>766</v>
      </c>
      <c r="J73">
        <f>17196070+5988288</f>
        <v>23184358</v>
      </c>
      <c r="K73" t="s">
        <v>767</v>
      </c>
      <c r="L73" t="s">
        <v>767</v>
      </c>
      <c r="M73">
        <v>325</v>
      </c>
      <c r="N73">
        <v>4</v>
      </c>
      <c r="O73">
        <v>0.33</v>
      </c>
      <c r="P73" t="s">
        <v>768</v>
      </c>
      <c r="Q73" t="s">
        <v>769</v>
      </c>
      <c r="R73" t="s">
        <v>154</v>
      </c>
      <c r="S73">
        <v>89</v>
      </c>
      <c r="T73" t="s">
        <v>770</v>
      </c>
      <c r="U73" t="s">
        <v>32</v>
      </c>
      <c r="V73" t="s">
        <v>32</v>
      </c>
      <c r="W73" t="s">
        <v>32</v>
      </c>
    </row>
    <row r="74" spans="1:23" x14ac:dyDescent="0.2">
      <c r="A74" t="s">
        <v>771</v>
      </c>
      <c r="B74" t="s">
        <v>772</v>
      </c>
      <c r="C74">
        <v>1344</v>
      </c>
      <c r="D74">
        <v>63</v>
      </c>
      <c r="E74" t="s">
        <v>773</v>
      </c>
      <c r="F74" t="s">
        <v>774</v>
      </c>
      <c r="G74" t="s">
        <v>775</v>
      </c>
      <c r="H74" t="s">
        <v>776</v>
      </c>
      <c r="I74" t="s">
        <v>720</v>
      </c>
      <c r="J74" t="s">
        <v>777</v>
      </c>
      <c r="K74" t="s">
        <v>415</v>
      </c>
      <c r="L74" t="s">
        <v>778</v>
      </c>
      <c r="M74">
        <v>522</v>
      </c>
      <c r="N74">
        <v>25</v>
      </c>
      <c r="O74">
        <v>1.62</v>
      </c>
      <c r="P74" t="s">
        <v>779</v>
      </c>
      <c r="Q74" t="s">
        <v>780</v>
      </c>
      <c r="R74" t="s">
        <v>781</v>
      </c>
      <c r="S74">
        <v>0</v>
      </c>
      <c r="T74" t="s">
        <v>30</v>
      </c>
      <c r="U74" t="s">
        <v>32</v>
      </c>
      <c r="V74" t="s">
        <v>32</v>
      </c>
      <c r="W74" t="s">
        <v>32</v>
      </c>
    </row>
    <row r="75" spans="1:23" x14ac:dyDescent="0.2">
      <c r="A75" t="s">
        <v>782</v>
      </c>
      <c r="B75" t="s">
        <v>782</v>
      </c>
      <c r="C75">
        <v>163</v>
      </c>
      <c r="D75">
        <v>45</v>
      </c>
      <c r="E75" t="s">
        <v>783</v>
      </c>
      <c r="F75" t="s">
        <v>784</v>
      </c>
      <c r="G75" t="s">
        <v>785</v>
      </c>
      <c r="H75" t="s">
        <v>786</v>
      </c>
      <c r="I75" t="s">
        <v>787</v>
      </c>
      <c r="J75" t="s">
        <v>788</v>
      </c>
      <c r="K75" t="s">
        <v>789</v>
      </c>
      <c r="L75" t="s">
        <v>790</v>
      </c>
      <c r="M75">
        <v>430</v>
      </c>
      <c r="N75">
        <v>0</v>
      </c>
      <c r="O75">
        <v>0</v>
      </c>
      <c r="P75" t="s">
        <v>791</v>
      </c>
      <c r="Q75" t="s">
        <v>30</v>
      </c>
      <c r="R75" t="s">
        <v>792</v>
      </c>
      <c r="S75">
        <v>283</v>
      </c>
      <c r="T75" t="s">
        <v>792</v>
      </c>
      <c r="U75" t="s">
        <v>32</v>
      </c>
      <c r="V75" t="s">
        <v>32</v>
      </c>
      <c r="W75" t="s">
        <v>32</v>
      </c>
    </row>
    <row r="76" spans="1:23" x14ac:dyDescent="0.2">
      <c r="A76" t="s">
        <v>793</v>
      </c>
      <c r="B76" t="s">
        <v>794</v>
      </c>
      <c r="C76">
        <v>107</v>
      </c>
      <c r="D76">
        <v>43</v>
      </c>
      <c r="E76" t="s">
        <v>795</v>
      </c>
      <c r="F76" t="s">
        <v>796</v>
      </c>
      <c r="G76" t="s">
        <v>797</v>
      </c>
      <c r="H76" t="s">
        <v>798</v>
      </c>
      <c r="I76" t="s">
        <v>799</v>
      </c>
      <c r="J76" t="s">
        <v>800</v>
      </c>
      <c r="K76" t="s">
        <v>801</v>
      </c>
      <c r="L76" t="s">
        <v>802</v>
      </c>
      <c r="M76">
        <v>190</v>
      </c>
      <c r="N76">
        <v>1</v>
      </c>
      <c r="O76">
        <v>0.02</v>
      </c>
      <c r="P76" t="s">
        <v>803</v>
      </c>
      <c r="Q76" t="s">
        <v>804</v>
      </c>
      <c r="R76" t="s">
        <v>805</v>
      </c>
      <c r="S76">
        <v>139</v>
      </c>
      <c r="T76" t="s">
        <v>805</v>
      </c>
      <c r="U76" t="s">
        <v>32</v>
      </c>
      <c r="V76" t="s">
        <v>32</v>
      </c>
      <c r="W76" t="s">
        <v>32</v>
      </c>
    </row>
    <row r="77" spans="1:23" x14ac:dyDescent="0.2">
      <c r="A77" t="s">
        <v>806</v>
      </c>
      <c r="B77" t="s">
        <v>806</v>
      </c>
      <c r="C77">
        <v>224</v>
      </c>
      <c r="D77">
        <v>43</v>
      </c>
      <c r="E77" t="s">
        <v>807</v>
      </c>
      <c r="F77" t="s">
        <v>808</v>
      </c>
      <c r="G77" t="s">
        <v>809</v>
      </c>
      <c r="H77" t="s">
        <v>810</v>
      </c>
      <c r="I77" t="s">
        <v>811</v>
      </c>
      <c r="J77" t="s">
        <v>812</v>
      </c>
      <c r="K77" t="s">
        <v>813</v>
      </c>
      <c r="L77" t="s">
        <v>814</v>
      </c>
      <c r="M77">
        <v>0</v>
      </c>
      <c r="N77">
        <v>0</v>
      </c>
      <c r="O77">
        <v>0</v>
      </c>
      <c r="P77" t="s">
        <v>815</v>
      </c>
      <c r="Q77" t="s">
        <v>30</v>
      </c>
      <c r="R77" t="s">
        <v>30</v>
      </c>
      <c r="S77">
        <v>653</v>
      </c>
      <c r="T77" t="s">
        <v>816</v>
      </c>
      <c r="U77" t="s">
        <v>32</v>
      </c>
      <c r="V77" t="s">
        <v>32</v>
      </c>
      <c r="W77" t="s">
        <v>32</v>
      </c>
    </row>
    <row r="78" spans="1:23" x14ac:dyDescent="0.2">
      <c r="A78" t="s">
        <v>817</v>
      </c>
      <c r="B78" t="s">
        <v>818</v>
      </c>
      <c r="C78">
        <v>72</v>
      </c>
      <c r="D78">
        <v>41</v>
      </c>
      <c r="E78" t="s">
        <v>819</v>
      </c>
      <c r="F78" t="s">
        <v>820</v>
      </c>
      <c r="G78" t="s">
        <v>821</v>
      </c>
      <c r="H78" t="s">
        <v>822</v>
      </c>
      <c r="I78" t="s">
        <v>684</v>
      </c>
      <c r="J78" t="s">
        <v>823</v>
      </c>
      <c r="K78" t="s">
        <v>824</v>
      </c>
      <c r="L78" t="s">
        <v>825</v>
      </c>
      <c r="M78">
        <v>489</v>
      </c>
      <c r="N78">
        <v>7</v>
      </c>
      <c r="O78">
        <v>0.23</v>
      </c>
      <c r="P78" t="s">
        <v>826</v>
      </c>
      <c r="Q78" t="s">
        <v>827</v>
      </c>
      <c r="R78" t="s">
        <v>828</v>
      </c>
      <c r="S78">
        <v>125</v>
      </c>
      <c r="T78" t="s">
        <v>828</v>
      </c>
      <c r="U78" t="s">
        <v>32</v>
      </c>
      <c r="V78" t="s">
        <v>32</v>
      </c>
      <c r="W78" t="s">
        <v>32</v>
      </c>
    </row>
    <row r="79" spans="1:23" x14ac:dyDescent="0.2">
      <c r="A79" t="s">
        <v>829</v>
      </c>
      <c r="B79" t="s">
        <v>829</v>
      </c>
      <c r="C79">
        <v>48</v>
      </c>
      <c r="D79">
        <v>48</v>
      </c>
      <c r="E79" t="s">
        <v>830</v>
      </c>
      <c r="F79" t="s">
        <v>831</v>
      </c>
      <c r="G79" t="s">
        <v>830</v>
      </c>
      <c r="H79" t="s">
        <v>831</v>
      </c>
      <c r="I79" t="s">
        <v>832</v>
      </c>
      <c r="J79" t="s">
        <v>833</v>
      </c>
      <c r="K79" t="s">
        <v>834</v>
      </c>
      <c r="L79" t="s">
        <v>834</v>
      </c>
      <c r="M79">
        <v>749</v>
      </c>
      <c r="N79">
        <v>0</v>
      </c>
      <c r="O79">
        <v>0</v>
      </c>
      <c r="P79" t="s">
        <v>835</v>
      </c>
      <c r="Q79" t="s">
        <v>30</v>
      </c>
      <c r="R79" t="s">
        <v>154</v>
      </c>
      <c r="S79">
        <v>86</v>
      </c>
      <c r="T79" t="s">
        <v>836</v>
      </c>
      <c r="U79" t="s">
        <v>84</v>
      </c>
      <c r="V79" t="s">
        <v>32</v>
      </c>
      <c r="W79" t="s">
        <v>32</v>
      </c>
    </row>
    <row r="80" spans="1:23" x14ac:dyDescent="0.2">
      <c r="A80" t="s">
        <v>837</v>
      </c>
      <c r="B80" t="s">
        <v>837</v>
      </c>
      <c r="C80">
        <v>2232</v>
      </c>
      <c r="D80">
        <v>65</v>
      </c>
      <c r="E80" t="s">
        <v>838</v>
      </c>
      <c r="F80" t="s">
        <v>839</v>
      </c>
      <c r="G80" t="s">
        <v>840</v>
      </c>
      <c r="H80" t="s">
        <v>841</v>
      </c>
      <c r="I80" t="s">
        <v>32</v>
      </c>
      <c r="J80" t="s">
        <v>842</v>
      </c>
      <c r="K80" t="s">
        <v>843</v>
      </c>
      <c r="L80" t="s">
        <v>606</v>
      </c>
      <c r="M80">
        <v>0</v>
      </c>
      <c r="N80">
        <v>0</v>
      </c>
      <c r="O80">
        <v>0</v>
      </c>
      <c r="P80" t="s">
        <v>844</v>
      </c>
      <c r="Q80" t="s">
        <v>30</v>
      </c>
      <c r="R80" t="s">
        <v>30</v>
      </c>
      <c r="S80">
        <v>0</v>
      </c>
      <c r="T80" t="s">
        <v>30</v>
      </c>
      <c r="U80" t="s">
        <v>32</v>
      </c>
      <c r="V80" t="s">
        <v>32</v>
      </c>
      <c r="W80" t="s">
        <v>32</v>
      </c>
    </row>
    <row r="81" spans="1:23" x14ac:dyDescent="0.2">
      <c r="A81" t="s">
        <v>845</v>
      </c>
      <c r="B81" t="s">
        <v>845</v>
      </c>
      <c r="C81">
        <v>50</v>
      </c>
      <c r="D81">
        <v>50</v>
      </c>
      <c r="E81" t="s">
        <v>846</v>
      </c>
      <c r="F81" t="s">
        <v>847</v>
      </c>
      <c r="G81" t="s">
        <v>846</v>
      </c>
      <c r="H81" t="s">
        <v>847</v>
      </c>
      <c r="I81" t="s">
        <v>848</v>
      </c>
      <c r="J81" t="s">
        <v>849</v>
      </c>
      <c r="K81" t="s">
        <v>850</v>
      </c>
      <c r="L81" t="s">
        <v>850</v>
      </c>
      <c r="M81">
        <v>0</v>
      </c>
      <c r="N81">
        <v>0</v>
      </c>
      <c r="O81">
        <v>0</v>
      </c>
      <c r="P81" t="s">
        <v>851</v>
      </c>
      <c r="Q81" t="s">
        <v>30</v>
      </c>
      <c r="R81" t="s">
        <v>30</v>
      </c>
      <c r="S81">
        <v>229</v>
      </c>
      <c r="T81" t="s">
        <v>852</v>
      </c>
      <c r="U81" t="s">
        <v>32</v>
      </c>
      <c r="V81" t="s">
        <v>32</v>
      </c>
      <c r="W81" t="s">
        <v>32</v>
      </c>
    </row>
    <row r="82" spans="1:23" x14ac:dyDescent="0.2">
      <c r="A82" t="s">
        <v>853</v>
      </c>
      <c r="B82" t="s">
        <v>854</v>
      </c>
      <c r="C82">
        <v>27</v>
      </c>
      <c r="D82">
        <v>27</v>
      </c>
      <c r="E82" t="s">
        <v>855</v>
      </c>
      <c r="F82" t="s">
        <v>856</v>
      </c>
      <c r="G82" t="s">
        <v>855</v>
      </c>
      <c r="H82" t="s">
        <v>856</v>
      </c>
      <c r="I82" t="s">
        <v>857</v>
      </c>
      <c r="J82" t="s">
        <v>858</v>
      </c>
      <c r="K82" t="s">
        <v>859</v>
      </c>
      <c r="L82" t="s">
        <v>859</v>
      </c>
      <c r="M82">
        <v>229</v>
      </c>
      <c r="N82">
        <v>34</v>
      </c>
      <c r="O82">
        <v>6.92</v>
      </c>
      <c r="P82" t="s">
        <v>860</v>
      </c>
      <c r="Q82" t="s">
        <v>861</v>
      </c>
      <c r="R82" t="s">
        <v>154</v>
      </c>
      <c r="S82">
        <v>77</v>
      </c>
      <c r="T82" t="s">
        <v>154</v>
      </c>
      <c r="U82" t="s">
        <v>32</v>
      </c>
      <c r="V82" t="s">
        <v>32</v>
      </c>
      <c r="W82" t="s">
        <v>32</v>
      </c>
    </row>
    <row r="83" spans="1:23" x14ac:dyDescent="0.2">
      <c r="A83" t="s">
        <v>862</v>
      </c>
      <c r="B83" t="s">
        <v>862</v>
      </c>
      <c r="C83">
        <v>25</v>
      </c>
      <c r="D83">
        <v>25</v>
      </c>
      <c r="E83" t="s">
        <v>863</v>
      </c>
      <c r="F83" t="s">
        <v>864</v>
      </c>
      <c r="G83" t="s">
        <v>863</v>
      </c>
      <c r="H83" t="s">
        <v>864</v>
      </c>
      <c r="I83" t="s">
        <v>865</v>
      </c>
      <c r="J83" t="s">
        <v>866</v>
      </c>
      <c r="K83" t="s">
        <v>867</v>
      </c>
      <c r="L83" t="s">
        <v>867</v>
      </c>
      <c r="M83">
        <v>169</v>
      </c>
      <c r="N83">
        <v>1</v>
      </c>
      <c r="O83">
        <v>0.02</v>
      </c>
      <c r="P83" t="s">
        <v>868</v>
      </c>
      <c r="Q83" t="s">
        <v>869</v>
      </c>
      <c r="R83" t="s">
        <v>870</v>
      </c>
      <c r="S83">
        <v>86</v>
      </c>
      <c r="T83" t="s">
        <v>870</v>
      </c>
      <c r="U83" t="s">
        <v>32</v>
      </c>
      <c r="V83" t="s">
        <v>32</v>
      </c>
      <c r="W83" t="s">
        <v>32</v>
      </c>
    </row>
    <row r="84" spans="1:23" x14ac:dyDescent="0.2">
      <c r="A84" t="s">
        <v>871</v>
      </c>
      <c r="B84" t="s">
        <v>871</v>
      </c>
      <c r="C84">
        <v>1871</v>
      </c>
      <c r="D84">
        <v>51</v>
      </c>
      <c r="E84" t="s">
        <v>872</v>
      </c>
      <c r="F84" t="s">
        <v>873</v>
      </c>
      <c r="G84" t="s">
        <v>874</v>
      </c>
      <c r="H84" t="s">
        <v>875</v>
      </c>
      <c r="I84" t="s">
        <v>876</v>
      </c>
      <c r="J84" t="s">
        <v>32</v>
      </c>
      <c r="K84" t="s">
        <v>30</v>
      </c>
      <c r="L84" t="s">
        <v>30</v>
      </c>
      <c r="M84">
        <v>0</v>
      </c>
      <c r="N84">
        <v>0</v>
      </c>
      <c r="O84">
        <v>0</v>
      </c>
      <c r="P84" t="s">
        <v>877</v>
      </c>
      <c r="Q84" t="s">
        <v>30</v>
      </c>
      <c r="R84" t="s">
        <v>30</v>
      </c>
      <c r="S84">
        <v>0</v>
      </c>
      <c r="T84" t="s">
        <v>30</v>
      </c>
      <c r="U84" t="s">
        <v>32</v>
      </c>
      <c r="V84" t="s">
        <v>32</v>
      </c>
      <c r="W84" t="s">
        <v>32</v>
      </c>
    </row>
    <row r="85" spans="1:23" x14ac:dyDescent="0.2">
      <c r="A85" t="s">
        <v>878</v>
      </c>
      <c r="B85" t="s">
        <v>878</v>
      </c>
      <c r="C85">
        <v>205</v>
      </c>
      <c r="D85">
        <v>44</v>
      </c>
      <c r="E85" t="s">
        <v>879</v>
      </c>
      <c r="F85" t="s">
        <v>880</v>
      </c>
      <c r="G85" t="s">
        <v>881</v>
      </c>
      <c r="H85" t="s">
        <v>882</v>
      </c>
      <c r="I85" t="s">
        <v>32</v>
      </c>
      <c r="J85" t="s">
        <v>32</v>
      </c>
      <c r="K85" t="s">
        <v>30</v>
      </c>
      <c r="L85" t="s">
        <v>30</v>
      </c>
      <c r="M85">
        <v>0</v>
      </c>
      <c r="N85">
        <v>0</v>
      </c>
      <c r="O85">
        <v>0</v>
      </c>
      <c r="P85" t="s">
        <v>883</v>
      </c>
      <c r="Q85" t="s">
        <v>30</v>
      </c>
      <c r="R85" t="s">
        <v>30</v>
      </c>
      <c r="S85">
        <v>552</v>
      </c>
      <c r="T85" t="s">
        <v>884</v>
      </c>
      <c r="U85" t="s">
        <v>32</v>
      </c>
      <c r="V85" t="s">
        <v>32</v>
      </c>
      <c r="W85" t="s">
        <v>32</v>
      </c>
    </row>
    <row r="86" spans="1:23" x14ac:dyDescent="0.2">
      <c r="A86" t="s">
        <v>885</v>
      </c>
      <c r="B86" t="s">
        <v>886</v>
      </c>
      <c r="C86">
        <v>40</v>
      </c>
      <c r="D86">
        <v>40</v>
      </c>
      <c r="E86" t="s">
        <v>887</v>
      </c>
      <c r="F86" t="s">
        <v>888</v>
      </c>
      <c r="G86" t="s">
        <v>887</v>
      </c>
      <c r="H86" t="s">
        <v>888</v>
      </c>
      <c r="I86" t="s">
        <v>889</v>
      </c>
      <c r="J86" t="s">
        <v>890</v>
      </c>
      <c r="K86" t="s">
        <v>891</v>
      </c>
      <c r="L86" t="s">
        <v>891</v>
      </c>
      <c r="M86">
        <v>446</v>
      </c>
      <c r="N86">
        <v>2</v>
      </c>
      <c r="O86">
        <v>0.17</v>
      </c>
      <c r="P86" t="s">
        <v>892</v>
      </c>
      <c r="Q86" t="s">
        <v>893</v>
      </c>
      <c r="R86" t="s">
        <v>154</v>
      </c>
      <c r="S86">
        <v>130</v>
      </c>
      <c r="T86" t="s">
        <v>343</v>
      </c>
      <c r="U86" t="s">
        <v>32</v>
      </c>
      <c r="V86" t="s">
        <v>32</v>
      </c>
      <c r="W86" t="s">
        <v>32</v>
      </c>
    </row>
    <row r="87" spans="1:23" x14ac:dyDescent="0.2">
      <c r="A87" t="s">
        <v>894</v>
      </c>
      <c r="B87" t="s">
        <v>895</v>
      </c>
      <c r="C87">
        <v>66</v>
      </c>
      <c r="D87">
        <v>30</v>
      </c>
      <c r="E87" t="s">
        <v>896</v>
      </c>
      <c r="F87" t="s">
        <v>897</v>
      </c>
      <c r="G87" t="s">
        <v>898</v>
      </c>
      <c r="H87" t="s">
        <v>899</v>
      </c>
      <c r="I87" t="s">
        <v>900</v>
      </c>
      <c r="J87" t="s">
        <v>901</v>
      </c>
      <c r="K87" t="s">
        <v>902</v>
      </c>
      <c r="L87" t="s">
        <v>903</v>
      </c>
      <c r="M87">
        <v>520</v>
      </c>
      <c r="N87">
        <v>75</v>
      </c>
      <c r="O87">
        <v>4.55</v>
      </c>
      <c r="P87" t="s">
        <v>904</v>
      </c>
      <c r="Q87" t="s">
        <v>905</v>
      </c>
      <c r="R87" t="s">
        <v>906</v>
      </c>
      <c r="S87">
        <v>187</v>
      </c>
      <c r="T87" t="s">
        <v>906</v>
      </c>
      <c r="U87" t="s">
        <v>32</v>
      </c>
      <c r="V87" t="s">
        <v>32</v>
      </c>
      <c r="W87" t="s">
        <v>32</v>
      </c>
    </row>
    <row r="88" spans="1:23" x14ac:dyDescent="0.2">
      <c r="A88" t="s">
        <v>907</v>
      </c>
      <c r="B88" t="s">
        <v>907</v>
      </c>
      <c r="C88">
        <v>1891</v>
      </c>
      <c r="D88">
        <v>51</v>
      </c>
      <c r="E88" t="s">
        <v>908</v>
      </c>
      <c r="F88" t="s">
        <v>909</v>
      </c>
      <c r="G88" t="s">
        <v>910</v>
      </c>
      <c r="H88" t="s">
        <v>911</v>
      </c>
      <c r="I88" t="s">
        <v>32</v>
      </c>
      <c r="J88" t="s">
        <v>32</v>
      </c>
      <c r="K88" t="s">
        <v>30</v>
      </c>
      <c r="L88" t="s">
        <v>30</v>
      </c>
      <c r="M88">
        <v>0</v>
      </c>
      <c r="N88">
        <v>0</v>
      </c>
      <c r="O88">
        <v>0</v>
      </c>
      <c r="P88" t="s">
        <v>912</v>
      </c>
      <c r="Q88" t="s">
        <v>30</v>
      </c>
      <c r="R88" t="s">
        <v>30</v>
      </c>
      <c r="S88">
        <v>0</v>
      </c>
      <c r="T88" t="s">
        <v>30</v>
      </c>
      <c r="U88" t="s">
        <v>32</v>
      </c>
      <c r="V88" t="s">
        <v>32</v>
      </c>
      <c r="W88" t="s">
        <v>32</v>
      </c>
    </row>
    <row r="89" spans="1:23" x14ac:dyDescent="0.2">
      <c r="A89" t="s">
        <v>913</v>
      </c>
      <c r="B89" t="s">
        <v>913</v>
      </c>
      <c r="C89">
        <v>112</v>
      </c>
      <c r="D89">
        <v>64</v>
      </c>
      <c r="E89" t="s">
        <v>914</v>
      </c>
      <c r="F89" t="s">
        <v>915</v>
      </c>
      <c r="G89" t="s">
        <v>916</v>
      </c>
      <c r="H89" t="s">
        <v>917</v>
      </c>
      <c r="I89" t="s">
        <v>918</v>
      </c>
      <c r="J89" t="s">
        <v>919</v>
      </c>
      <c r="K89" t="s">
        <v>920</v>
      </c>
      <c r="L89" t="s">
        <v>921</v>
      </c>
      <c r="M89">
        <v>0</v>
      </c>
      <c r="N89">
        <v>0</v>
      </c>
      <c r="O89">
        <v>0</v>
      </c>
      <c r="P89" t="s">
        <v>922</v>
      </c>
      <c r="Q89" t="s">
        <v>30</v>
      </c>
      <c r="R89" t="s">
        <v>30</v>
      </c>
      <c r="S89">
        <v>108</v>
      </c>
      <c r="T89" t="s">
        <v>923</v>
      </c>
      <c r="U89" t="s">
        <v>32</v>
      </c>
      <c r="V89" t="s">
        <v>32</v>
      </c>
      <c r="W89" t="s">
        <v>32</v>
      </c>
    </row>
    <row r="90" spans="1:23" x14ac:dyDescent="0.2">
      <c r="A90" t="s">
        <v>924</v>
      </c>
      <c r="B90" t="s">
        <v>925</v>
      </c>
      <c r="C90">
        <v>1343</v>
      </c>
      <c r="D90">
        <v>64</v>
      </c>
      <c r="E90" t="s">
        <v>926</v>
      </c>
      <c r="F90" t="s">
        <v>927</v>
      </c>
      <c r="G90" t="s">
        <v>928</v>
      </c>
      <c r="H90" t="s">
        <v>929</v>
      </c>
      <c r="I90" t="s">
        <v>930</v>
      </c>
      <c r="J90" t="s">
        <v>931</v>
      </c>
      <c r="K90" t="s">
        <v>932</v>
      </c>
      <c r="L90" t="s">
        <v>933</v>
      </c>
      <c r="M90">
        <v>0</v>
      </c>
      <c r="N90">
        <v>0</v>
      </c>
      <c r="O90">
        <v>0</v>
      </c>
      <c r="P90" t="s">
        <v>934</v>
      </c>
      <c r="Q90" t="s">
        <v>30</v>
      </c>
      <c r="R90" t="s">
        <v>30</v>
      </c>
      <c r="S90">
        <v>0</v>
      </c>
      <c r="T90" t="s">
        <v>30</v>
      </c>
      <c r="U90" t="s">
        <v>32</v>
      </c>
      <c r="V90" t="s">
        <v>32</v>
      </c>
      <c r="W90" t="s">
        <v>32</v>
      </c>
    </row>
    <row r="91" spans="1:23" x14ac:dyDescent="0.2">
      <c r="A91" t="s">
        <v>935</v>
      </c>
      <c r="B91" t="s">
        <v>936</v>
      </c>
      <c r="C91">
        <v>165</v>
      </c>
      <c r="D91">
        <v>84</v>
      </c>
      <c r="E91" t="s">
        <v>937</v>
      </c>
      <c r="F91" t="s">
        <v>938</v>
      </c>
      <c r="G91" t="s">
        <v>939</v>
      </c>
      <c r="H91" t="s">
        <v>940</v>
      </c>
      <c r="I91" t="s">
        <v>941</v>
      </c>
      <c r="J91" t="s">
        <v>942</v>
      </c>
      <c r="K91" t="s">
        <v>943</v>
      </c>
      <c r="L91" t="s">
        <v>944</v>
      </c>
      <c r="M91">
        <v>0</v>
      </c>
      <c r="N91">
        <v>0</v>
      </c>
      <c r="O91">
        <v>0</v>
      </c>
      <c r="P91" t="s">
        <v>597</v>
      </c>
      <c r="Q91" t="s">
        <v>30</v>
      </c>
      <c r="R91" t="s">
        <v>30</v>
      </c>
      <c r="S91">
        <v>432</v>
      </c>
      <c r="T91" t="s">
        <v>945</v>
      </c>
      <c r="U91" t="s">
        <v>32</v>
      </c>
      <c r="V91" t="s">
        <v>32</v>
      </c>
      <c r="W91" t="s">
        <v>32</v>
      </c>
    </row>
    <row r="92" spans="1:23" x14ac:dyDescent="0.2">
      <c r="A92" t="s">
        <v>946</v>
      </c>
      <c r="B92" t="s">
        <v>946</v>
      </c>
      <c r="C92">
        <v>210</v>
      </c>
      <c r="D92">
        <v>45</v>
      </c>
      <c r="E92" t="s">
        <v>947</v>
      </c>
      <c r="F92" t="s">
        <v>114</v>
      </c>
      <c r="G92" t="s">
        <v>948</v>
      </c>
      <c r="H92" t="s">
        <v>949</v>
      </c>
      <c r="I92" t="s">
        <v>117</v>
      </c>
      <c r="J92" t="s">
        <v>950</v>
      </c>
      <c r="K92" t="s">
        <v>951</v>
      </c>
      <c r="L92" t="s">
        <v>952</v>
      </c>
      <c r="M92">
        <v>0</v>
      </c>
      <c r="N92">
        <v>0</v>
      </c>
      <c r="O92">
        <v>0</v>
      </c>
      <c r="P92" t="s">
        <v>953</v>
      </c>
      <c r="Q92" t="s">
        <v>30</v>
      </c>
      <c r="R92" t="s">
        <v>30</v>
      </c>
      <c r="S92">
        <v>546</v>
      </c>
      <c r="T92" t="s">
        <v>954</v>
      </c>
      <c r="U92" t="s">
        <v>955</v>
      </c>
      <c r="V92" t="s">
        <v>32</v>
      </c>
      <c r="W92" t="s">
        <v>32</v>
      </c>
    </row>
    <row r="93" spans="1:23" x14ac:dyDescent="0.2">
      <c r="A93" t="s">
        <v>956</v>
      </c>
      <c r="B93" t="s">
        <v>956</v>
      </c>
      <c r="C93">
        <v>52</v>
      </c>
      <c r="D93">
        <v>52</v>
      </c>
      <c r="E93" t="s">
        <v>957</v>
      </c>
      <c r="F93" t="s">
        <v>958</v>
      </c>
      <c r="G93" t="s">
        <v>957</v>
      </c>
      <c r="H93" t="s">
        <v>958</v>
      </c>
      <c r="I93" t="s">
        <v>959</v>
      </c>
      <c r="J93" t="s">
        <v>960</v>
      </c>
      <c r="K93" t="s">
        <v>961</v>
      </c>
      <c r="L93" t="s">
        <v>961</v>
      </c>
      <c r="M93">
        <v>487</v>
      </c>
      <c r="N93">
        <v>116</v>
      </c>
      <c r="O93">
        <v>72.569999999999993</v>
      </c>
      <c r="P93" t="s">
        <v>962</v>
      </c>
      <c r="Q93" t="s">
        <v>963</v>
      </c>
      <c r="R93" t="s">
        <v>964</v>
      </c>
      <c r="S93">
        <v>330</v>
      </c>
      <c r="T93" t="s">
        <v>965</v>
      </c>
      <c r="U93" t="s">
        <v>32</v>
      </c>
      <c r="V93" t="s">
        <v>32</v>
      </c>
      <c r="W93" t="s">
        <v>32</v>
      </c>
    </row>
    <row r="94" spans="1:23" x14ac:dyDescent="0.2">
      <c r="A94" t="s">
        <v>966</v>
      </c>
      <c r="B94" t="s">
        <v>967</v>
      </c>
      <c r="C94">
        <v>201</v>
      </c>
      <c r="D94">
        <v>44</v>
      </c>
      <c r="E94" t="s">
        <v>968</v>
      </c>
      <c r="F94" t="s">
        <v>969</v>
      </c>
      <c r="G94" t="s">
        <v>970</v>
      </c>
      <c r="H94" t="s">
        <v>971</v>
      </c>
      <c r="I94" t="s">
        <v>742</v>
      </c>
      <c r="J94" t="s">
        <v>972</v>
      </c>
      <c r="K94" t="s">
        <v>973</v>
      </c>
      <c r="L94" t="s">
        <v>974</v>
      </c>
      <c r="M94">
        <v>435</v>
      </c>
      <c r="N94">
        <v>30</v>
      </c>
      <c r="O94">
        <v>1.6</v>
      </c>
      <c r="P94" t="s">
        <v>975</v>
      </c>
      <c r="Q94" t="s">
        <v>976</v>
      </c>
      <c r="R94" t="s">
        <v>977</v>
      </c>
      <c r="S94">
        <v>594</v>
      </c>
      <c r="T94" t="s">
        <v>977</v>
      </c>
      <c r="U94" t="s">
        <v>32</v>
      </c>
      <c r="V94" t="s">
        <v>32</v>
      </c>
      <c r="W94" t="s">
        <v>32</v>
      </c>
    </row>
    <row r="95" spans="1:23" x14ac:dyDescent="0.2">
      <c r="A95" t="s">
        <v>978</v>
      </c>
      <c r="B95" t="s">
        <v>979</v>
      </c>
      <c r="C95">
        <v>153</v>
      </c>
      <c r="D95">
        <v>85</v>
      </c>
      <c r="E95" t="s">
        <v>980</v>
      </c>
      <c r="F95" t="s">
        <v>981</v>
      </c>
      <c r="G95" t="s">
        <v>982</v>
      </c>
      <c r="H95" t="s">
        <v>983</v>
      </c>
      <c r="I95" t="s">
        <v>799</v>
      </c>
      <c r="J95" t="s">
        <v>984</v>
      </c>
      <c r="K95" t="s">
        <v>985</v>
      </c>
      <c r="L95" t="s">
        <v>986</v>
      </c>
      <c r="M95">
        <v>975</v>
      </c>
      <c r="N95">
        <v>49</v>
      </c>
      <c r="O95">
        <v>5.3</v>
      </c>
      <c r="P95" t="s">
        <v>987</v>
      </c>
      <c r="Q95" t="s">
        <v>988</v>
      </c>
      <c r="R95" t="s">
        <v>989</v>
      </c>
      <c r="S95">
        <v>746</v>
      </c>
      <c r="T95" t="s">
        <v>989</v>
      </c>
      <c r="U95" t="s">
        <v>32</v>
      </c>
      <c r="V95" t="s">
        <v>32</v>
      </c>
      <c r="W95" t="s">
        <v>32</v>
      </c>
    </row>
    <row r="96" spans="1:23" x14ac:dyDescent="0.2">
      <c r="A96" t="s">
        <v>990</v>
      </c>
      <c r="B96" t="s">
        <v>991</v>
      </c>
      <c r="C96">
        <v>46</v>
      </c>
      <c r="D96">
        <v>46</v>
      </c>
      <c r="E96" t="s">
        <v>992</v>
      </c>
      <c r="F96" t="s">
        <v>993</v>
      </c>
      <c r="G96" t="s">
        <v>992</v>
      </c>
      <c r="H96" t="s">
        <v>993</v>
      </c>
      <c r="I96" t="s">
        <v>994</v>
      </c>
      <c r="J96" t="s">
        <v>995</v>
      </c>
      <c r="K96" t="s">
        <v>996</v>
      </c>
      <c r="L96" t="s">
        <v>996</v>
      </c>
      <c r="M96">
        <v>471</v>
      </c>
      <c r="N96">
        <v>31</v>
      </c>
      <c r="O96">
        <v>11.58</v>
      </c>
      <c r="P96" t="s">
        <v>997</v>
      </c>
      <c r="Q96" t="s">
        <v>998</v>
      </c>
      <c r="R96" t="s">
        <v>999</v>
      </c>
      <c r="S96">
        <v>160</v>
      </c>
      <c r="T96" t="s">
        <v>1000</v>
      </c>
      <c r="U96" t="s">
        <v>32</v>
      </c>
      <c r="V96" t="s">
        <v>32</v>
      </c>
      <c r="W96" t="s">
        <v>32</v>
      </c>
    </row>
    <row r="97" spans="1:23" x14ac:dyDescent="0.2">
      <c r="A97" t="s">
        <v>1001</v>
      </c>
      <c r="B97" t="s">
        <v>1002</v>
      </c>
      <c r="C97">
        <v>145</v>
      </c>
      <c r="D97">
        <v>27</v>
      </c>
      <c r="E97" t="s">
        <v>1003</v>
      </c>
      <c r="F97" t="s">
        <v>1004</v>
      </c>
      <c r="G97" t="s">
        <v>1005</v>
      </c>
      <c r="H97" t="s">
        <v>1006</v>
      </c>
      <c r="I97" t="s">
        <v>1007</v>
      </c>
      <c r="J97" t="s">
        <v>1008</v>
      </c>
      <c r="K97" t="s">
        <v>1009</v>
      </c>
      <c r="L97" t="s">
        <v>1010</v>
      </c>
      <c r="M97">
        <v>230</v>
      </c>
      <c r="N97">
        <v>1</v>
      </c>
      <c r="O97">
        <v>0.02</v>
      </c>
      <c r="P97" t="s">
        <v>1011</v>
      </c>
      <c r="Q97" t="s">
        <v>1012</v>
      </c>
      <c r="R97" t="s">
        <v>1013</v>
      </c>
      <c r="S97">
        <v>203</v>
      </c>
      <c r="T97" t="s">
        <v>1014</v>
      </c>
      <c r="U97" t="s">
        <v>32</v>
      </c>
      <c r="V97" t="s">
        <v>32</v>
      </c>
      <c r="W97" t="s">
        <v>32</v>
      </c>
    </row>
    <row r="98" spans="1:23" x14ac:dyDescent="0.2">
      <c r="A98" t="s">
        <v>1015</v>
      </c>
      <c r="B98" t="s">
        <v>1016</v>
      </c>
      <c r="C98">
        <v>52</v>
      </c>
      <c r="D98">
        <v>52</v>
      </c>
      <c r="E98" t="s">
        <v>1017</v>
      </c>
      <c r="F98" t="s">
        <v>1018</v>
      </c>
      <c r="G98" t="s">
        <v>1017</v>
      </c>
      <c r="H98" t="s">
        <v>1018</v>
      </c>
      <c r="I98" t="s">
        <v>1019</v>
      </c>
      <c r="J98" t="s">
        <v>1020</v>
      </c>
      <c r="K98" t="s">
        <v>1021</v>
      </c>
      <c r="L98" t="s">
        <v>1021</v>
      </c>
      <c r="M98">
        <v>0</v>
      </c>
      <c r="N98">
        <v>0</v>
      </c>
      <c r="O98">
        <v>0</v>
      </c>
      <c r="P98" t="s">
        <v>1022</v>
      </c>
      <c r="Q98" t="s">
        <v>30</v>
      </c>
      <c r="R98" t="s">
        <v>30</v>
      </c>
      <c r="S98">
        <v>92</v>
      </c>
      <c r="T98" t="s">
        <v>1023</v>
      </c>
      <c r="U98" t="s">
        <v>32</v>
      </c>
      <c r="V98" t="s">
        <v>32</v>
      </c>
      <c r="W98" t="s">
        <v>32</v>
      </c>
    </row>
    <row r="99" spans="1:23" x14ac:dyDescent="0.2">
      <c r="A99" t="s">
        <v>1024</v>
      </c>
      <c r="B99" t="s">
        <v>1024</v>
      </c>
      <c r="C99">
        <v>2236</v>
      </c>
      <c r="D99">
        <v>65</v>
      </c>
      <c r="E99" t="s">
        <v>1025</v>
      </c>
      <c r="F99" t="s">
        <v>1026</v>
      </c>
      <c r="G99" t="s">
        <v>1027</v>
      </c>
      <c r="H99" t="s">
        <v>1028</v>
      </c>
      <c r="I99" t="s">
        <v>32</v>
      </c>
      <c r="J99" t="s">
        <v>32</v>
      </c>
      <c r="K99" t="s">
        <v>30</v>
      </c>
      <c r="L99" t="s">
        <v>30</v>
      </c>
      <c r="M99">
        <v>0</v>
      </c>
      <c r="N99">
        <v>0</v>
      </c>
      <c r="O99">
        <v>0</v>
      </c>
      <c r="P99" t="s">
        <v>1029</v>
      </c>
      <c r="Q99" t="s">
        <v>30</v>
      </c>
      <c r="R99" t="s">
        <v>30</v>
      </c>
      <c r="S99">
        <v>0</v>
      </c>
      <c r="T99" t="s">
        <v>30</v>
      </c>
      <c r="U99" t="s">
        <v>32</v>
      </c>
      <c r="V99" t="s">
        <v>32</v>
      </c>
      <c r="W99" t="s">
        <v>32</v>
      </c>
    </row>
    <row r="100" spans="1:23" x14ac:dyDescent="0.2">
      <c r="A100" t="s">
        <v>1030</v>
      </c>
      <c r="B100" t="s">
        <v>1030</v>
      </c>
      <c r="C100">
        <v>189</v>
      </c>
      <c r="D100">
        <v>47</v>
      </c>
      <c r="E100" t="s">
        <v>1031</v>
      </c>
      <c r="F100" t="s">
        <v>1032</v>
      </c>
      <c r="G100" t="s">
        <v>1033</v>
      </c>
      <c r="H100" t="s">
        <v>1034</v>
      </c>
      <c r="I100" t="s">
        <v>1035</v>
      </c>
      <c r="J100" t="s">
        <v>1036</v>
      </c>
      <c r="K100" t="s">
        <v>1037</v>
      </c>
      <c r="L100" t="s">
        <v>560</v>
      </c>
      <c r="M100">
        <v>0</v>
      </c>
      <c r="N100">
        <v>0</v>
      </c>
      <c r="O100">
        <v>0</v>
      </c>
      <c r="P100" t="s">
        <v>1038</v>
      </c>
      <c r="Q100" t="s">
        <v>30</v>
      </c>
      <c r="R100" t="s">
        <v>30</v>
      </c>
      <c r="S100">
        <v>314</v>
      </c>
      <c r="T100" t="s">
        <v>1039</v>
      </c>
      <c r="U100" t="s">
        <v>84</v>
      </c>
      <c r="V100" t="s">
        <v>32</v>
      </c>
      <c r="W100" t="s">
        <v>32</v>
      </c>
    </row>
    <row r="101" spans="1:23" x14ac:dyDescent="0.2">
      <c r="A101" t="s">
        <v>1040</v>
      </c>
      <c r="B101" t="s">
        <v>1040</v>
      </c>
      <c r="C101">
        <v>129</v>
      </c>
      <c r="D101">
        <v>31</v>
      </c>
      <c r="E101" t="s">
        <v>1041</v>
      </c>
      <c r="F101" t="s">
        <v>1042</v>
      </c>
      <c r="G101" t="s">
        <v>1043</v>
      </c>
      <c r="H101" t="s">
        <v>1044</v>
      </c>
      <c r="I101" t="s">
        <v>1045</v>
      </c>
      <c r="J101" t="s">
        <v>1046</v>
      </c>
      <c r="K101" t="s">
        <v>1047</v>
      </c>
      <c r="L101" t="s">
        <v>1048</v>
      </c>
      <c r="M101">
        <v>0</v>
      </c>
      <c r="N101">
        <v>0</v>
      </c>
      <c r="O101">
        <v>0</v>
      </c>
      <c r="P101" t="s">
        <v>1049</v>
      </c>
      <c r="Q101" t="s">
        <v>30</v>
      </c>
      <c r="R101" t="s">
        <v>30</v>
      </c>
      <c r="S101">
        <v>83</v>
      </c>
      <c r="T101" t="s">
        <v>1050</v>
      </c>
      <c r="U101" t="s">
        <v>32</v>
      </c>
      <c r="V101" t="s">
        <v>32</v>
      </c>
      <c r="W101" t="s">
        <v>32</v>
      </c>
    </row>
    <row r="102" spans="1:23" x14ac:dyDescent="0.2">
      <c r="A102" t="s">
        <v>1051</v>
      </c>
      <c r="B102" t="s">
        <v>1052</v>
      </c>
      <c r="C102">
        <v>28</v>
      </c>
      <c r="D102">
        <v>28</v>
      </c>
      <c r="E102" t="s">
        <v>1053</v>
      </c>
      <c r="F102" t="s">
        <v>61</v>
      </c>
      <c r="G102" t="s">
        <v>1053</v>
      </c>
      <c r="H102" t="s">
        <v>61</v>
      </c>
      <c r="I102" t="s">
        <v>1054</v>
      </c>
      <c r="J102" t="s">
        <v>1055</v>
      </c>
      <c r="K102" t="s">
        <v>1056</v>
      </c>
      <c r="L102" t="s">
        <v>1056</v>
      </c>
      <c r="M102">
        <v>219</v>
      </c>
      <c r="N102">
        <v>5</v>
      </c>
      <c r="O102">
        <v>2.4</v>
      </c>
      <c r="P102" t="s">
        <v>1057</v>
      </c>
      <c r="Q102" t="s">
        <v>1058</v>
      </c>
      <c r="R102" t="s">
        <v>1059</v>
      </c>
      <c r="S102">
        <v>85</v>
      </c>
      <c r="T102" t="s">
        <v>154</v>
      </c>
      <c r="U102" t="s">
        <v>32</v>
      </c>
      <c r="V102" t="s">
        <v>32</v>
      </c>
      <c r="W102" t="s">
        <v>32</v>
      </c>
    </row>
    <row r="103" spans="1:23" x14ac:dyDescent="0.2">
      <c r="A103" t="s">
        <v>1060</v>
      </c>
      <c r="B103" t="s">
        <v>1061</v>
      </c>
      <c r="C103">
        <v>131</v>
      </c>
      <c r="D103">
        <v>77</v>
      </c>
      <c r="E103" t="s">
        <v>1062</v>
      </c>
      <c r="F103" t="s">
        <v>1063</v>
      </c>
      <c r="G103" t="s">
        <v>1064</v>
      </c>
      <c r="H103" t="s">
        <v>593</v>
      </c>
      <c r="I103" t="s">
        <v>1065</v>
      </c>
      <c r="J103" t="s">
        <v>1066</v>
      </c>
      <c r="K103" t="s">
        <v>1067</v>
      </c>
      <c r="L103" t="s">
        <v>1068</v>
      </c>
      <c r="M103">
        <v>860</v>
      </c>
      <c r="N103">
        <v>30</v>
      </c>
      <c r="O103">
        <v>3.6</v>
      </c>
      <c r="P103" t="s">
        <v>1069</v>
      </c>
      <c r="Q103" t="s">
        <v>1070</v>
      </c>
      <c r="R103" t="s">
        <v>1071</v>
      </c>
      <c r="S103">
        <v>365</v>
      </c>
      <c r="T103" t="s">
        <v>1072</v>
      </c>
      <c r="U103" t="s">
        <v>32</v>
      </c>
      <c r="V103" t="s">
        <v>32</v>
      </c>
      <c r="W103" t="s">
        <v>32</v>
      </c>
    </row>
    <row r="104" spans="1:23" x14ac:dyDescent="0.2">
      <c r="A104" t="s">
        <v>1073</v>
      </c>
      <c r="B104" t="s">
        <v>1073</v>
      </c>
      <c r="C104">
        <v>14</v>
      </c>
      <c r="D104">
        <v>14</v>
      </c>
      <c r="E104" t="s">
        <v>1074</v>
      </c>
      <c r="F104" t="s">
        <v>1075</v>
      </c>
      <c r="G104" t="s">
        <v>1074</v>
      </c>
      <c r="H104" t="s">
        <v>1075</v>
      </c>
      <c r="I104" t="s">
        <v>1076</v>
      </c>
      <c r="J104" t="s">
        <v>1077</v>
      </c>
      <c r="K104" t="s">
        <v>1078</v>
      </c>
      <c r="L104" t="s">
        <v>1078</v>
      </c>
      <c r="M104">
        <v>226</v>
      </c>
      <c r="N104">
        <v>1</v>
      </c>
      <c r="O104">
        <v>0.05</v>
      </c>
      <c r="P104" t="s">
        <v>1079</v>
      </c>
      <c r="Q104" t="s">
        <v>1080</v>
      </c>
      <c r="R104" t="s">
        <v>154</v>
      </c>
      <c r="S104">
        <v>33</v>
      </c>
      <c r="T104" t="s">
        <v>154</v>
      </c>
      <c r="U104" t="s">
        <v>32</v>
      </c>
      <c r="V104" t="s">
        <v>32</v>
      </c>
      <c r="W104" t="s">
        <v>32</v>
      </c>
    </row>
    <row r="105" spans="1:23" x14ac:dyDescent="0.2">
      <c r="A105" t="s">
        <v>1081</v>
      </c>
      <c r="B105" t="s">
        <v>1082</v>
      </c>
      <c r="C105">
        <v>210</v>
      </c>
      <c r="D105">
        <v>47</v>
      </c>
      <c r="E105" t="s">
        <v>1083</v>
      </c>
      <c r="F105" t="s">
        <v>1084</v>
      </c>
      <c r="G105" t="s">
        <v>1085</v>
      </c>
      <c r="H105" t="s">
        <v>1086</v>
      </c>
      <c r="I105" t="s">
        <v>117</v>
      </c>
      <c r="J105" t="s">
        <v>1087</v>
      </c>
      <c r="K105" t="s">
        <v>1088</v>
      </c>
      <c r="L105" t="s">
        <v>1089</v>
      </c>
      <c r="M105">
        <v>0</v>
      </c>
      <c r="N105">
        <v>0</v>
      </c>
      <c r="O105">
        <v>0</v>
      </c>
      <c r="P105" t="s">
        <v>1090</v>
      </c>
      <c r="Q105" t="s">
        <v>30</v>
      </c>
      <c r="R105" t="s">
        <v>30</v>
      </c>
      <c r="S105">
        <v>482</v>
      </c>
      <c r="T105" t="s">
        <v>1091</v>
      </c>
      <c r="U105" t="s">
        <v>84</v>
      </c>
      <c r="V105" t="s">
        <v>32</v>
      </c>
      <c r="W105" t="s">
        <v>32</v>
      </c>
    </row>
    <row r="106" spans="1:23" x14ac:dyDescent="0.2">
      <c r="A106" t="s">
        <v>1092</v>
      </c>
      <c r="B106" t="s">
        <v>1092</v>
      </c>
      <c r="C106">
        <v>204</v>
      </c>
      <c r="D106">
        <v>43</v>
      </c>
      <c r="E106" t="s">
        <v>1093</v>
      </c>
      <c r="F106" t="s">
        <v>1094</v>
      </c>
      <c r="G106" t="s">
        <v>1095</v>
      </c>
      <c r="H106" t="s">
        <v>1096</v>
      </c>
      <c r="I106" t="s">
        <v>1097</v>
      </c>
      <c r="J106" t="s">
        <v>1098</v>
      </c>
      <c r="K106" t="s">
        <v>1099</v>
      </c>
      <c r="L106" t="s">
        <v>1100</v>
      </c>
      <c r="M106">
        <v>451</v>
      </c>
      <c r="N106">
        <v>2</v>
      </c>
      <c r="O106">
        <v>1</v>
      </c>
      <c r="P106" t="s">
        <v>1101</v>
      </c>
      <c r="Q106" t="s">
        <v>1080</v>
      </c>
      <c r="R106" t="s">
        <v>1102</v>
      </c>
      <c r="S106">
        <v>588</v>
      </c>
      <c r="T106" t="s">
        <v>1103</v>
      </c>
      <c r="U106" t="s">
        <v>32</v>
      </c>
      <c r="V106" t="s">
        <v>32</v>
      </c>
      <c r="W106" t="s">
        <v>32</v>
      </c>
    </row>
    <row r="107" spans="1:23" x14ac:dyDescent="0.2">
      <c r="A107" t="s">
        <v>1104</v>
      </c>
      <c r="B107" t="s">
        <v>1104</v>
      </c>
      <c r="C107">
        <v>1869</v>
      </c>
      <c r="D107">
        <v>51</v>
      </c>
      <c r="E107" t="s">
        <v>1105</v>
      </c>
      <c r="F107" t="s">
        <v>1106</v>
      </c>
      <c r="G107" t="s">
        <v>1107</v>
      </c>
      <c r="H107" t="s">
        <v>1108</v>
      </c>
      <c r="I107" t="s">
        <v>1109</v>
      </c>
      <c r="J107" t="s">
        <v>32</v>
      </c>
      <c r="K107" t="s">
        <v>30</v>
      </c>
      <c r="L107" t="s">
        <v>30</v>
      </c>
      <c r="M107">
        <v>0</v>
      </c>
      <c r="N107">
        <v>0</v>
      </c>
      <c r="O107">
        <v>0</v>
      </c>
      <c r="P107" t="s">
        <v>1110</v>
      </c>
      <c r="Q107" t="s">
        <v>30</v>
      </c>
      <c r="R107" t="s">
        <v>30</v>
      </c>
      <c r="S107">
        <v>0</v>
      </c>
      <c r="T107" t="s">
        <v>30</v>
      </c>
      <c r="U107" t="s">
        <v>32</v>
      </c>
      <c r="V107" t="s">
        <v>32</v>
      </c>
      <c r="W107" t="s">
        <v>32</v>
      </c>
    </row>
    <row r="108" spans="1:23" x14ac:dyDescent="0.2">
      <c r="A108" t="s">
        <v>1111</v>
      </c>
      <c r="B108" t="s">
        <v>1111</v>
      </c>
      <c r="C108">
        <v>189</v>
      </c>
      <c r="D108">
        <v>43</v>
      </c>
      <c r="E108" t="s">
        <v>1112</v>
      </c>
      <c r="F108" t="s">
        <v>1113</v>
      </c>
      <c r="G108" t="s">
        <v>1114</v>
      </c>
      <c r="H108" t="s">
        <v>1115</v>
      </c>
      <c r="I108" t="s">
        <v>229</v>
      </c>
      <c r="J108" t="s">
        <v>1116</v>
      </c>
      <c r="K108" t="s">
        <v>1117</v>
      </c>
      <c r="L108" t="s">
        <v>1118</v>
      </c>
      <c r="M108">
        <v>0</v>
      </c>
      <c r="N108">
        <v>0</v>
      </c>
      <c r="O108">
        <v>0</v>
      </c>
      <c r="P108" t="s">
        <v>1119</v>
      </c>
      <c r="Q108" t="s">
        <v>30</v>
      </c>
      <c r="R108" t="s">
        <v>30</v>
      </c>
      <c r="S108">
        <v>189</v>
      </c>
      <c r="T108" t="s">
        <v>1120</v>
      </c>
      <c r="U108" t="s">
        <v>32</v>
      </c>
      <c r="V108" t="s">
        <v>32</v>
      </c>
      <c r="W108" t="s">
        <v>32</v>
      </c>
    </row>
    <row r="109" spans="1:23" x14ac:dyDescent="0.2">
      <c r="A109" t="s">
        <v>1121</v>
      </c>
      <c r="B109" t="s">
        <v>1121</v>
      </c>
      <c r="C109">
        <v>148</v>
      </c>
      <c r="D109">
        <v>71</v>
      </c>
      <c r="E109" t="s">
        <v>1122</v>
      </c>
      <c r="F109" t="s">
        <v>1123</v>
      </c>
      <c r="G109" t="s">
        <v>1124</v>
      </c>
      <c r="H109" t="s">
        <v>1125</v>
      </c>
      <c r="I109" t="s">
        <v>1126</v>
      </c>
      <c r="J109" t="s">
        <v>1127</v>
      </c>
      <c r="K109" t="s">
        <v>1128</v>
      </c>
      <c r="L109" t="s">
        <v>1129</v>
      </c>
      <c r="M109">
        <v>830</v>
      </c>
      <c r="N109">
        <v>66</v>
      </c>
      <c r="O109">
        <v>3.48</v>
      </c>
      <c r="P109" t="s">
        <v>1130</v>
      </c>
      <c r="Q109" t="s">
        <v>1131</v>
      </c>
      <c r="R109" t="s">
        <v>1132</v>
      </c>
      <c r="S109">
        <v>476</v>
      </c>
      <c r="T109" t="s">
        <v>1133</v>
      </c>
      <c r="U109" t="s">
        <v>32</v>
      </c>
      <c r="V109" t="s">
        <v>32</v>
      </c>
      <c r="W109" t="s">
        <v>32</v>
      </c>
    </row>
    <row r="110" spans="1:23" x14ac:dyDescent="0.2">
      <c r="A110" t="s">
        <v>1134</v>
      </c>
      <c r="B110" t="s">
        <v>1135</v>
      </c>
      <c r="C110">
        <v>71</v>
      </c>
      <c r="D110">
        <v>39</v>
      </c>
      <c r="E110" t="s">
        <v>1136</v>
      </c>
      <c r="F110" t="s">
        <v>1137</v>
      </c>
      <c r="G110" t="s">
        <v>1138</v>
      </c>
      <c r="H110" t="s">
        <v>1139</v>
      </c>
      <c r="I110" t="s">
        <v>1140</v>
      </c>
      <c r="J110" t="s">
        <v>1141</v>
      </c>
      <c r="K110" t="s">
        <v>1142</v>
      </c>
      <c r="L110" t="s">
        <v>1143</v>
      </c>
      <c r="M110">
        <v>707</v>
      </c>
      <c r="N110">
        <v>92</v>
      </c>
      <c r="O110">
        <v>13.73</v>
      </c>
      <c r="P110" t="s">
        <v>1144</v>
      </c>
      <c r="Q110" t="s">
        <v>1145</v>
      </c>
      <c r="R110" t="s">
        <v>1146</v>
      </c>
      <c r="S110">
        <v>323</v>
      </c>
      <c r="T110" t="s">
        <v>1147</v>
      </c>
      <c r="U110" t="s">
        <v>32</v>
      </c>
      <c r="V110" t="s">
        <v>32</v>
      </c>
      <c r="W110" t="s">
        <v>32</v>
      </c>
    </row>
    <row r="111" spans="1:23" x14ac:dyDescent="0.2">
      <c r="A111" t="s">
        <v>1148</v>
      </c>
      <c r="B111" t="s">
        <v>1148</v>
      </c>
      <c r="C111">
        <v>188</v>
      </c>
      <c r="D111">
        <v>43</v>
      </c>
      <c r="E111" t="s">
        <v>1149</v>
      </c>
      <c r="F111" t="s">
        <v>1150</v>
      </c>
      <c r="G111" t="s">
        <v>1151</v>
      </c>
      <c r="H111" t="s">
        <v>1152</v>
      </c>
      <c r="I111" t="s">
        <v>1153</v>
      </c>
      <c r="J111" t="s">
        <v>1154</v>
      </c>
      <c r="K111" t="s">
        <v>447</v>
      </c>
      <c r="L111" t="s">
        <v>1155</v>
      </c>
      <c r="M111">
        <v>164</v>
      </c>
      <c r="N111">
        <v>21</v>
      </c>
      <c r="O111">
        <v>4.2699999999999996</v>
      </c>
      <c r="P111" t="s">
        <v>1156</v>
      </c>
      <c r="Q111" t="s">
        <v>1157</v>
      </c>
      <c r="R111" t="s">
        <v>1158</v>
      </c>
      <c r="S111">
        <v>401</v>
      </c>
      <c r="T111" t="s">
        <v>1159</v>
      </c>
      <c r="U111" t="s">
        <v>84</v>
      </c>
      <c r="V111" t="s">
        <v>32</v>
      </c>
      <c r="W111" t="s">
        <v>32</v>
      </c>
    </row>
    <row r="112" spans="1:23" x14ac:dyDescent="0.2">
      <c r="A112" t="s">
        <v>1160</v>
      </c>
      <c r="B112" t="s">
        <v>1161</v>
      </c>
      <c r="C112">
        <v>163</v>
      </c>
      <c r="D112">
        <v>44</v>
      </c>
      <c r="E112" t="s">
        <v>1162</v>
      </c>
      <c r="F112" t="s">
        <v>1163</v>
      </c>
      <c r="G112" t="s">
        <v>1164</v>
      </c>
      <c r="H112" t="s">
        <v>1165</v>
      </c>
      <c r="I112" t="s">
        <v>720</v>
      </c>
      <c r="J112" t="s">
        <v>1166</v>
      </c>
      <c r="K112" t="s">
        <v>1167</v>
      </c>
      <c r="L112" t="s">
        <v>1168</v>
      </c>
      <c r="M112">
        <v>425</v>
      </c>
      <c r="N112">
        <v>29</v>
      </c>
      <c r="O112">
        <v>4.63</v>
      </c>
      <c r="P112" t="s">
        <v>1169</v>
      </c>
      <c r="Q112" t="s">
        <v>1170</v>
      </c>
      <c r="R112" t="s">
        <v>1171</v>
      </c>
      <c r="S112">
        <v>544</v>
      </c>
      <c r="T112" t="s">
        <v>1172</v>
      </c>
      <c r="U112" t="s">
        <v>32</v>
      </c>
      <c r="V112" t="s">
        <v>32</v>
      </c>
      <c r="W112" t="s">
        <v>32</v>
      </c>
    </row>
    <row r="113" spans="1:23" x14ac:dyDescent="0.2">
      <c r="A113" t="s">
        <v>1173</v>
      </c>
      <c r="B113" t="s">
        <v>1173</v>
      </c>
      <c r="C113">
        <v>120</v>
      </c>
      <c r="D113">
        <v>74</v>
      </c>
      <c r="E113" t="s">
        <v>1174</v>
      </c>
      <c r="F113" t="s">
        <v>1175</v>
      </c>
      <c r="G113" t="s">
        <v>1176</v>
      </c>
      <c r="H113" t="s">
        <v>1177</v>
      </c>
      <c r="I113" t="s">
        <v>1178</v>
      </c>
      <c r="J113" t="s">
        <v>1179</v>
      </c>
      <c r="K113" t="s">
        <v>1180</v>
      </c>
      <c r="L113" t="s">
        <v>1181</v>
      </c>
      <c r="M113">
        <v>0</v>
      </c>
      <c r="N113">
        <v>0</v>
      </c>
      <c r="O113">
        <v>0</v>
      </c>
      <c r="P113" t="s">
        <v>1182</v>
      </c>
      <c r="Q113" t="s">
        <v>30</v>
      </c>
      <c r="R113" t="s">
        <v>30</v>
      </c>
      <c r="S113">
        <v>284</v>
      </c>
      <c r="T113" t="s">
        <v>1183</v>
      </c>
      <c r="U113" t="s">
        <v>1184</v>
      </c>
      <c r="V113" t="s">
        <v>32</v>
      </c>
      <c r="W113" t="s">
        <v>32</v>
      </c>
    </row>
    <row r="114" spans="1:23" x14ac:dyDescent="0.2">
      <c r="A114" t="s">
        <v>1185</v>
      </c>
      <c r="B114" t="s">
        <v>1186</v>
      </c>
      <c r="C114">
        <v>122</v>
      </c>
      <c r="D114">
        <v>19</v>
      </c>
      <c r="E114" t="s">
        <v>1187</v>
      </c>
      <c r="F114" t="s">
        <v>1188</v>
      </c>
      <c r="G114" t="s">
        <v>1189</v>
      </c>
      <c r="H114" t="s">
        <v>479</v>
      </c>
      <c r="I114" t="s">
        <v>32</v>
      </c>
      <c r="J114" t="s">
        <v>1190</v>
      </c>
      <c r="K114" t="s">
        <v>722</v>
      </c>
      <c r="L114" t="s">
        <v>1191</v>
      </c>
      <c r="M114">
        <v>224</v>
      </c>
      <c r="N114">
        <v>13</v>
      </c>
      <c r="O114">
        <v>1.78</v>
      </c>
      <c r="P114" t="s">
        <v>1192</v>
      </c>
      <c r="Q114" t="s">
        <v>1193</v>
      </c>
      <c r="R114" t="s">
        <v>1194</v>
      </c>
      <c r="S114">
        <v>172</v>
      </c>
      <c r="T114" t="s">
        <v>1195</v>
      </c>
      <c r="U114" t="s">
        <v>32</v>
      </c>
      <c r="V114" t="s">
        <v>32</v>
      </c>
      <c r="W114" t="s">
        <v>32</v>
      </c>
    </row>
    <row r="115" spans="1:23" x14ac:dyDescent="0.2">
      <c r="A115" t="s">
        <v>1196</v>
      </c>
      <c r="B115" t="s">
        <v>1197</v>
      </c>
      <c r="C115">
        <v>135</v>
      </c>
      <c r="D115">
        <v>78</v>
      </c>
      <c r="E115" t="s">
        <v>1198</v>
      </c>
      <c r="F115" t="s">
        <v>1199</v>
      </c>
      <c r="G115" t="s">
        <v>1200</v>
      </c>
      <c r="H115" t="s">
        <v>1201</v>
      </c>
      <c r="I115" t="s">
        <v>1202</v>
      </c>
      <c r="J115" t="s">
        <v>1203</v>
      </c>
      <c r="K115" t="s">
        <v>1204</v>
      </c>
      <c r="L115" t="s">
        <v>1205</v>
      </c>
      <c r="M115">
        <v>1049</v>
      </c>
      <c r="N115">
        <v>81</v>
      </c>
      <c r="O115">
        <v>9.9</v>
      </c>
      <c r="P115" t="s">
        <v>1206</v>
      </c>
      <c r="Q115" t="s">
        <v>1207</v>
      </c>
      <c r="R115" t="s">
        <v>1208</v>
      </c>
      <c r="S115">
        <v>376</v>
      </c>
      <c r="T115" t="s">
        <v>1209</v>
      </c>
      <c r="U115" t="s">
        <v>32</v>
      </c>
      <c r="V115" t="s">
        <v>32</v>
      </c>
      <c r="W115" t="s">
        <v>32</v>
      </c>
    </row>
    <row r="116" spans="1:23" x14ac:dyDescent="0.2">
      <c r="A116" t="s">
        <v>1210</v>
      </c>
      <c r="B116" t="s">
        <v>1210</v>
      </c>
      <c r="C116">
        <v>1865</v>
      </c>
      <c r="D116">
        <v>51</v>
      </c>
      <c r="E116" t="s">
        <v>1211</v>
      </c>
      <c r="F116" t="s">
        <v>1212</v>
      </c>
      <c r="G116" t="s">
        <v>1213</v>
      </c>
      <c r="H116" t="s">
        <v>1214</v>
      </c>
      <c r="I116" t="s">
        <v>32</v>
      </c>
      <c r="J116" t="s">
        <v>32</v>
      </c>
      <c r="K116" t="s">
        <v>30</v>
      </c>
      <c r="L116" t="s">
        <v>30</v>
      </c>
      <c r="M116">
        <v>0</v>
      </c>
      <c r="N116">
        <v>0</v>
      </c>
      <c r="O116">
        <v>0</v>
      </c>
      <c r="P116" t="s">
        <v>912</v>
      </c>
      <c r="Q116" t="s">
        <v>30</v>
      </c>
      <c r="R116" t="s">
        <v>30</v>
      </c>
      <c r="S116">
        <v>0</v>
      </c>
      <c r="T116" t="s">
        <v>30</v>
      </c>
      <c r="U116" t="s">
        <v>32</v>
      </c>
      <c r="V116" t="s">
        <v>32</v>
      </c>
      <c r="W116" t="s">
        <v>32</v>
      </c>
    </row>
    <row r="117" spans="1:23" x14ac:dyDescent="0.2">
      <c r="A117" t="s">
        <v>1215</v>
      </c>
      <c r="B117" t="s">
        <v>1215</v>
      </c>
      <c r="C117">
        <v>1868</v>
      </c>
      <c r="D117">
        <v>52</v>
      </c>
      <c r="E117" t="s">
        <v>1216</v>
      </c>
      <c r="F117" t="s">
        <v>1217</v>
      </c>
      <c r="G117" t="s">
        <v>1218</v>
      </c>
      <c r="H117" t="s">
        <v>1219</v>
      </c>
      <c r="I117" t="s">
        <v>32</v>
      </c>
      <c r="J117" t="s">
        <v>32</v>
      </c>
      <c r="K117" t="s">
        <v>30</v>
      </c>
      <c r="L117" t="s">
        <v>30</v>
      </c>
      <c r="M117">
        <v>0</v>
      </c>
      <c r="N117">
        <v>0</v>
      </c>
      <c r="O117">
        <v>0</v>
      </c>
      <c r="P117" t="s">
        <v>912</v>
      </c>
      <c r="Q117" t="s">
        <v>30</v>
      </c>
      <c r="R117" t="s">
        <v>30</v>
      </c>
      <c r="S117">
        <v>0</v>
      </c>
      <c r="T117" t="s">
        <v>30</v>
      </c>
      <c r="U117" t="s">
        <v>32</v>
      </c>
      <c r="V117" t="s">
        <v>32</v>
      </c>
      <c r="W117" t="s">
        <v>32</v>
      </c>
    </row>
    <row r="118" spans="1:23" x14ac:dyDescent="0.2">
      <c r="A118" t="s">
        <v>1220</v>
      </c>
      <c r="B118" t="s">
        <v>1220</v>
      </c>
      <c r="C118">
        <v>1862</v>
      </c>
      <c r="D118">
        <v>51</v>
      </c>
      <c r="E118" t="s">
        <v>1221</v>
      </c>
      <c r="F118" t="s">
        <v>1222</v>
      </c>
      <c r="G118" t="s">
        <v>1223</v>
      </c>
      <c r="H118" t="s">
        <v>1224</v>
      </c>
      <c r="I118" t="s">
        <v>32</v>
      </c>
      <c r="J118" t="s">
        <v>1225</v>
      </c>
      <c r="K118" t="s">
        <v>30</v>
      </c>
      <c r="L118" t="s">
        <v>327</v>
      </c>
      <c r="M118">
        <v>0</v>
      </c>
      <c r="N118">
        <v>0</v>
      </c>
      <c r="O118">
        <v>0</v>
      </c>
      <c r="P118" t="s">
        <v>1226</v>
      </c>
      <c r="Q118" t="s">
        <v>30</v>
      </c>
      <c r="R118" t="s">
        <v>30</v>
      </c>
      <c r="S118">
        <v>0</v>
      </c>
      <c r="T118" t="s">
        <v>30</v>
      </c>
      <c r="U118" t="s">
        <v>32</v>
      </c>
      <c r="V118" t="s">
        <v>32</v>
      </c>
      <c r="W118" t="s">
        <v>32</v>
      </c>
    </row>
    <row r="119" spans="1:23" x14ac:dyDescent="0.2">
      <c r="A119" t="s">
        <v>1227</v>
      </c>
      <c r="B119" t="s">
        <v>1228</v>
      </c>
      <c r="C119">
        <v>215</v>
      </c>
      <c r="D119">
        <v>43</v>
      </c>
      <c r="E119" t="s">
        <v>1229</v>
      </c>
      <c r="F119" t="s">
        <v>1230</v>
      </c>
      <c r="G119" t="s">
        <v>1231</v>
      </c>
      <c r="H119" t="s">
        <v>1232</v>
      </c>
      <c r="I119" t="s">
        <v>1233</v>
      </c>
      <c r="J119" t="s">
        <v>1234</v>
      </c>
      <c r="K119" t="s">
        <v>1235</v>
      </c>
      <c r="L119" t="s">
        <v>1236</v>
      </c>
      <c r="M119">
        <v>0</v>
      </c>
      <c r="N119">
        <v>0</v>
      </c>
      <c r="O119">
        <v>0</v>
      </c>
      <c r="P119" t="s">
        <v>1237</v>
      </c>
      <c r="Q119" t="s">
        <v>30</v>
      </c>
      <c r="R119" t="s">
        <v>30</v>
      </c>
      <c r="S119">
        <v>599</v>
      </c>
      <c r="T119" t="s">
        <v>1238</v>
      </c>
      <c r="U119" t="s">
        <v>576</v>
      </c>
      <c r="V119" t="s">
        <v>32</v>
      </c>
      <c r="W119" t="s">
        <v>32</v>
      </c>
    </row>
    <row r="120" spans="1:23" x14ac:dyDescent="0.2">
      <c r="A120" t="s">
        <v>1239</v>
      </c>
      <c r="B120" t="s">
        <v>1240</v>
      </c>
      <c r="C120">
        <v>79</v>
      </c>
      <c r="D120">
        <v>40</v>
      </c>
      <c r="E120" t="s">
        <v>1241</v>
      </c>
      <c r="F120" t="s">
        <v>1242</v>
      </c>
      <c r="G120" t="s">
        <v>1243</v>
      </c>
      <c r="H120" t="s">
        <v>1244</v>
      </c>
      <c r="I120" t="s">
        <v>1245</v>
      </c>
      <c r="J120" t="s">
        <v>1246</v>
      </c>
      <c r="K120" t="s">
        <v>686</v>
      </c>
      <c r="L120" t="s">
        <v>1247</v>
      </c>
      <c r="M120">
        <v>510</v>
      </c>
      <c r="N120">
        <v>21</v>
      </c>
      <c r="O120">
        <v>1.02</v>
      </c>
      <c r="P120" t="s">
        <v>1248</v>
      </c>
      <c r="Q120" t="s">
        <v>1249</v>
      </c>
      <c r="R120" t="s">
        <v>1250</v>
      </c>
      <c r="S120">
        <v>547</v>
      </c>
      <c r="T120" t="s">
        <v>1251</v>
      </c>
      <c r="U120" t="s">
        <v>32</v>
      </c>
      <c r="V120" t="s">
        <v>32</v>
      </c>
      <c r="W120" t="s">
        <v>32</v>
      </c>
    </row>
    <row r="121" spans="1:23" x14ac:dyDescent="0.2">
      <c r="A121" t="s">
        <v>1252</v>
      </c>
      <c r="B121" t="s">
        <v>1253</v>
      </c>
      <c r="C121">
        <v>40</v>
      </c>
      <c r="D121">
        <v>40</v>
      </c>
      <c r="E121" t="s">
        <v>1254</v>
      </c>
      <c r="F121" t="s">
        <v>1255</v>
      </c>
      <c r="G121" t="s">
        <v>1254</v>
      </c>
      <c r="H121" t="s">
        <v>1255</v>
      </c>
      <c r="I121" t="s">
        <v>1256</v>
      </c>
      <c r="J121" t="s">
        <v>1257</v>
      </c>
      <c r="K121" t="s">
        <v>1258</v>
      </c>
      <c r="L121" t="s">
        <v>1258</v>
      </c>
      <c r="M121">
        <v>701</v>
      </c>
      <c r="N121">
        <v>25</v>
      </c>
      <c r="O121">
        <v>5.77</v>
      </c>
      <c r="P121" t="s">
        <v>1259</v>
      </c>
      <c r="Q121" t="s">
        <v>1260</v>
      </c>
      <c r="R121" t="s">
        <v>1261</v>
      </c>
      <c r="S121">
        <v>265</v>
      </c>
      <c r="T121" t="s">
        <v>1261</v>
      </c>
      <c r="U121" t="s">
        <v>32</v>
      </c>
      <c r="V121" t="s">
        <v>32</v>
      </c>
      <c r="W121" t="s">
        <v>32</v>
      </c>
    </row>
    <row r="122" spans="1:23" x14ac:dyDescent="0.2">
      <c r="A122" t="s">
        <v>1262</v>
      </c>
      <c r="B122" t="s">
        <v>1262</v>
      </c>
      <c r="C122">
        <v>34</v>
      </c>
      <c r="D122">
        <v>34</v>
      </c>
      <c r="E122" t="s">
        <v>1263</v>
      </c>
      <c r="F122" t="s">
        <v>1264</v>
      </c>
      <c r="G122" t="s">
        <v>1263</v>
      </c>
      <c r="H122" t="s">
        <v>1264</v>
      </c>
      <c r="I122" t="s">
        <v>1265</v>
      </c>
      <c r="J122" t="s">
        <v>1266</v>
      </c>
      <c r="K122" t="s">
        <v>1267</v>
      </c>
      <c r="L122" t="s">
        <v>1267</v>
      </c>
      <c r="M122">
        <v>0</v>
      </c>
      <c r="N122">
        <v>0</v>
      </c>
      <c r="O122">
        <v>0</v>
      </c>
      <c r="P122" t="s">
        <v>1268</v>
      </c>
      <c r="Q122" t="s">
        <v>30</v>
      </c>
      <c r="R122" t="s">
        <v>30</v>
      </c>
      <c r="S122">
        <v>93</v>
      </c>
      <c r="T122" t="s">
        <v>154</v>
      </c>
      <c r="U122" t="s">
        <v>32</v>
      </c>
      <c r="V122" t="s">
        <v>32</v>
      </c>
      <c r="W122" t="s">
        <v>32</v>
      </c>
    </row>
    <row r="123" spans="1:23" x14ac:dyDescent="0.2">
      <c r="A123" t="s">
        <v>1269</v>
      </c>
      <c r="B123" t="s">
        <v>1269</v>
      </c>
      <c r="C123">
        <v>1861</v>
      </c>
      <c r="D123">
        <v>52</v>
      </c>
      <c r="E123" t="s">
        <v>1270</v>
      </c>
      <c r="F123" t="s">
        <v>1271</v>
      </c>
      <c r="G123" t="s">
        <v>1272</v>
      </c>
      <c r="H123" t="s">
        <v>1273</v>
      </c>
      <c r="I123" t="s">
        <v>32</v>
      </c>
      <c r="J123" t="s">
        <v>1274</v>
      </c>
      <c r="K123" t="s">
        <v>200</v>
      </c>
      <c r="L123" t="s">
        <v>1275</v>
      </c>
      <c r="M123">
        <v>0</v>
      </c>
      <c r="N123">
        <v>0</v>
      </c>
      <c r="O123">
        <v>0</v>
      </c>
      <c r="P123" t="s">
        <v>1276</v>
      </c>
      <c r="Q123" t="s">
        <v>30</v>
      </c>
      <c r="R123" t="s">
        <v>30</v>
      </c>
      <c r="S123">
        <v>0</v>
      </c>
      <c r="T123" t="s">
        <v>30</v>
      </c>
      <c r="U123" t="s">
        <v>32</v>
      </c>
      <c r="V123" t="s">
        <v>32</v>
      </c>
      <c r="W123" t="s">
        <v>32</v>
      </c>
    </row>
    <row r="124" spans="1:23" x14ac:dyDescent="0.2">
      <c r="A124" t="s">
        <v>1277</v>
      </c>
      <c r="B124" t="s">
        <v>1278</v>
      </c>
      <c r="C124">
        <v>98</v>
      </c>
      <c r="D124">
        <v>39</v>
      </c>
      <c r="E124" t="s">
        <v>1279</v>
      </c>
      <c r="F124" t="s">
        <v>1280</v>
      </c>
      <c r="G124" t="s">
        <v>1281</v>
      </c>
      <c r="H124" t="s">
        <v>1282</v>
      </c>
      <c r="I124" t="s">
        <v>1283</v>
      </c>
      <c r="J124" t="s">
        <v>1284</v>
      </c>
      <c r="K124" t="s">
        <v>1285</v>
      </c>
      <c r="L124" t="s">
        <v>1286</v>
      </c>
      <c r="M124">
        <v>591</v>
      </c>
      <c r="N124">
        <v>12</v>
      </c>
      <c r="O124">
        <v>0.5</v>
      </c>
      <c r="P124" t="s">
        <v>1287</v>
      </c>
      <c r="Q124" t="s">
        <v>109</v>
      </c>
      <c r="R124" t="s">
        <v>1288</v>
      </c>
      <c r="S124">
        <v>354</v>
      </c>
      <c r="T124" t="s">
        <v>1289</v>
      </c>
      <c r="U124" t="s">
        <v>32</v>
      </c>
      <c r="V124" t="s">
        <v>32</v>
      </c>
      <c r="W124" t="s">
        <v>32</v>
      </c>
    </row>
    <row r="125" spans="1:23" x14ac:dyDescent="0.2">
      <c r="A125" t="s">
        <v>1290</v>
      </c>
      <c r="B125" t="s">
        <v>1290</v>
      </c>
      <c r="C125">
        <v>1039</v>
      </c>
      <c r="D125">
        <v>60</v>
      </c>
      <c r="E125" t="s">
        <v>1291</v>
      </c>
      <c r="F125" t="s">
        <v>1292</v>
      </c>
      <c r="G125" t="s">
        <v>1293</v>
      </c>
      <c r="H125" t="s">
        <v>1294</v>
      </c>
      <c r="I125" t="s">
        <v>1295</v>
      </c>
      <c r="J125" t="s">
        <v>1296</v>
      </c>
      <c r="K125" t="s">
        <v>1297</v>
      </c>
      <c r="L125" t="s">
        <v>1298</v>
      </c>
      <c r="M125">
        <v>255</v>
      </c>
      <c r="N125">
        <v>7</v>
      </c>
      <c r="O125">
        <v>0.23</v>
      </c>
      <c r="P125" t="s">
        <v>1299</v>
      </c>
      <c r="Q125" t="s">
        <v>1300</v>
      </c>
      <c r="R125" t="s">
        <v>1301</v>
      </c>
      <c r="S125">
        <v>0</v>
      </c>
      <c r="T125" t="s">
        <v>30</v>
      </c>
      <c r="U125" t="s">
        <v>32</v>
      </c>
      <c r="V125" t="s">
        <v>32</v>
      </c>
      <c r="W125" t="s">
        <v>32</v>
      </c>
    </row>
    <row r="126" spans="1:23" x14ac:dyDescent="0.2">
      <c r="A126" t="s">
        <v>1302</v>
      </c>
      <c r="B126" t="s">
        <v>1303</v>
      </c>
      <c r="C126">
        <v>27</v>
      </c>
      <c r="D126">
        <v>27</v>
      </c>
      <c r="E126" t="s">
        <v>1304</v>
      </c>
      <c r="F126" t="s">
        <v>1305</v>
      </c>
      <c r="G126" t="s">
        <v>1304</v>
      </c>
      <c r="H126" t="s">
        <v>1305</v>
      </c>
      <c r="I126" t="s">
        <v>1306</v>
      </c>
      <c r="J126" t="s">
        <v>1307</v>
      </c>
      <c r="K126" t="s">
        <v>1308</v>
      </c>
      <c r="L126" t="s">
        <v>1308</v>
      </c>
      <c r="M126">
        <v>217</v>
      </c>
      <c r="N126">
        <v>18</v>
      </c>
      <c r="O126">
        <v>5.43</v>
      </c>
      <c r="P126" t="s">
        <v>1309</v>
      </c>
      <c r="Q126" t="s">
        <v>1310</v>
      </c>
      <c r="R126" t="s">
        <v>154</v>
      </c>
      <c r="S126">
        <v>200</v>
      </c>
      <c r="T126" t="s">
        <v>154</v>
      </c>
      <c r="U126" t="s">
        <v>32</v>
      </c>
      <c r="V126" t="s">
        <v>32</v>
      </c>
      <c r="W126" t="s">
        <v>32</v>
      </c>
    </row>
    <row r="127" spans="1:23" x14ac:dyDescent="0.2">
      <c r="A127" t="s">
        <v>1311</v>
      </c>
      <c r="B127" t="s">
        <v>1311</v>
      </c>
      <c r="C127">
        <v>22</v>
      </c>
      <c r="D127">
        <v>22</v>
      </c>
      <c r="E127" t="s">
        <v>1312</v>
      </c>
      <c r="F127" t="s">
        <v>1313</v>
      </c>
      <c r="G127" t="s">
        <v>1312</v>
      </c>
      <c r="H127" t="s">
        <v>1313</v>
      </c>
      <c r="I127" t="s">
        <v>1314</v>
      </c>
      <c r="J127" t="s">
        <v>1315</v>
      </c>
      <c r="K127" t="s">
        <v>1316</v>
      </c>
      <c r="L127" t="s">
        <v>1316</v>
      </c>
      <c r="M127">
        <v>0</v>
      </c>
      <c r="N127">
        <v>0</v>
      </c>
      <c r="O127">
        <v>0</v>
      </c>
      <c r="P127" t="s">
        <v>1317</v>
      </c>
      <c r="Q127" t="s">
        <v>30</v>
      </c>
      <c r="R127" t="s">
        <v>30</v>
      </c>
      <c r="S127">
        <v>100</v>
      </c>
      <c r="T127" t="s">
        <v>1318</v>
      </c>
      <c r="U127" t="s">
        <v>32</v>
      </c>
      <c r="V127" t="s">
        <v>32</v>
      </c>
      <c r="W127" t="s">
        <v>32</v>
      </c>
    </row>
    <row r="128" spans="1:23" x14ac:dyDescent="0.2">
      <c r="A128" t="s">
        <v>1319</v>
      </c>
      <c r="B128" t="s">
        <v>1320</v>
      </c>
      <c r="C128">
        <v>105</v>
      </c>
      <c r="D128">
        <v>41</v>
      </c>
      <c r="E128" t="s">
        <v>1321</v>
      </c>
      <c r="F128" t="s">
        <v>1322</v>
      </c>
      <c r="G128" t="s">
        <v>1323</v>
      </c>
      <c r="H128" t="s">
        <v>339</v>
      </c>
      <c r="I128" t="s">
        <v>1324</v>
      </c>
      <c r="J128" t="s">
        <v>1325</v>
      </c>
      <c r="K128" t="s">
        <v>1326</v>
      </c>
      <c r="L128" t="s">
        <v>1327</v>
      </c>
      <c r="M128">
        <v>441</v>
      </c>
      <c r="N128">
        <v>24</v>
      </c>
      <c r="O128">
        <v>4.8</v>
      </c>
      <c r="P128" t="s">
        <v>1328</v>
      </c>
      <c r="Q128" t="s">
        <v>502</v>
      </c>
      <c r="R128" t="s">
        <v>1329</v>
      </c>
      <c r="S128">
        <v>362</v>
      </c>
      <c r="T128" t="s">
        <v>1183</v>
      </c>
      <c r="U128" t="s">
        <v>32</v>
      </c>
      <c r="V128" t="s">
        <v>32</v>
      </c>
      <c r="W128" t="s">
        <v>32</v>
      </c>
    </row>
    <row r="129" spans="1:23" x14ac:dyDescent="0.2">
      <c r="A129" t="s">
        <v>1330</v>
      </c>
      <c r="B129" t="s">
        <v>1330</v>
      </c>
      <c r="C129">
        <v>895</v>
      </c>
      <c r="D129">
        <v>64</v>
      </c>
      <c r="E129" t="s">
        <v>1331</v>
      </c>
      <c r="F129" t="s">
        <v>1332</v>
      </c>
      <c r="G129" t="s">
        <v>1333</v>
      </c>
      <c r="H129" t="s">
        <v>1334</v>
      </c>
      <c r="I129" t="s">
        <v>1335</v>
      </c>
      <c r="J129" t="s">
        <v>1336</v>
      </c>
      <c r="K129" t="s">
        <v>427</v>
      </c>
      <c r="L129" t="s">
        <v>1337</v>
      </c>
      <c r="M129">
        <v>0</v>
      </c>
      <c r="N129">
        <v>0</v>
      </c>
      <c r="O129">
        <v>0</v>
      </c>
      <c r="P129" t="s">
        <v>1338</v>
      </c>
      <c r="Q129" t="s">
        <v>30</v>
      </c>
      <c r="R129" t="s">
        <v>30</v>
      </c>
      <c r="S129">
        <v>0</v>
      </c>
      <c r="T129" t="s">
        <v>30</v>
      </c>
      <c r="U129" t="s">
        <v>32</v>
      </c>
      <c r="V129" t="s">
        <v>32</v>
      </c>
      <c r="W129" t="s">
        <v>32</v>
      </c>
    </row>
    <row r="130" spans="1:23" x14ac:dyDescent="0.2">
      <c r="A130" t="s">
        <v>1339</v>
      </c>
      <c r="B130" t="s">
        <v>1339</v>
      </c>
      <c r="C130">
        <v>1873</v>
      </c>
      <c r="D130">
        <v>51</v>
      </c>
      <c r="E130" t="s">
        <v>1340</v>
      </c>
      <c r="F130" t="s">
        <v>1341</v>
      </c>
      <c r="G130" t="s">
        <v>1342</v>
      </c>
      <c r="H130" t="s">
        <v>1343</v>
      </c>
      <c r="I130" t="s">
        <v>32</v>
      </c>
      <c r="J130" t="s">
        <v>32</v>
      </c>
      <c r="K130" t="s">
        <v>30</v>
      </c>
      <c r="L130" t="s">
        <v>30</v>
      </c>
      <c r="M130">
        <v>0</v>
      </c>
      <c r="N130">
        <v>0</v>
      </c>
      <c r="O130">
        <v>0</v>
      </c>
      <c r="P130" t="s">
        <v>1344</v>
      </c>
      <c r="Q130" t="s">
        <v>30</v>
      </c>
      <c r="R130" t="s">
        <v>30</v>
      </c>
      <c r="S130">
        <v>0</v>
      </c>
      <c r="T130" t="s">
        <v>30</v>
      </c>
      <c r="U130" t="s">
        <v>32</v>
      </c>
      <c r="V130" t="s">
        <v>32</v>
      </c>
      <c r="W130" t="s">
        <v>32</v>
      </c>
    </row>
    <row r="131" spans="1:23" x14ac:dyDescent="0.2">
      <c r="A131" t="s">
        <v>1345</v>
      </c>
      <c r="B131" t="s">
        <v>1345</v>
      </c>
      <c r="C131">
        <v>1868</v>
      </c>
      <c r="D131">
        <v>51</v>
      </c>
      <c r="E131" t="s">
        <v>1346</v>
      </c>
      <c r="F131" t="s">
        <v>1347</v>
      </c>
      <c r="G131" t="s">
        <v>1348</v>
      </c>
      <c r="H131" t="s">
        <v>1349</v>
      </c>
      <c r="I131" t="s">
        <v>32</v>
      </c>
      <c r="J131" t="s">
        <v>1350</v>
      </c>
      <c r="K131" t="s">
        <v>327</v>
      </c>
      <c r="L131" t="s">
        <v>1351</v>
      </c>
      <c r="M131">
        <v>0</v>
      </c>
      <c r="N131">
        <v>0</v>
      </c>
      <c r="O131">
        <v>0</v>
      </c>
      <c r="P131" t="s">
        <v>912</v>
      </c>
      <c r="Q131" t="s">
        <v>30</v>
      </c>
      <c r="R131" t="s">
        <v>30</v>
      </c>
      <c r="S131">
        <v>0</v>
      </c>
      <c r="T131" t="s">
        <v>30</v>
      </c>
      <c r="U131" t="s">
        <v>32</v>
      </c>
      <c r="V131" t="s">
        <v>32</v>
      </c>
      <c r="W131" t="s">
        <v>32</v>
      </c>
    </row>
    <row r="132" spans="1:23" x14ac:dyDescent="0.2">
      <c r="A132" t="s">
        <v>1352</v>
      </c>
      <c r="B132" t="s">
        <v>1352</v>
      </c>
      <c r="C132">
        <v>132</v>
      </c>
      <c r="D132">
        <v>79</v>
      </c>
      <c r="E132" t="s">
        <v>1353</v>
      </c>
      <c r="F132" t="s">
        <v>1354</v>
      </c>
      <c r="G132" t="s">
        <v>1355</v>
      </c>
      <c r="H132" t="s">
        <v>1356</v>
      </c>
      <c r="I132" t="s">
        <v>1357</v>
      </c>
      <c r="J132" t="s">
        <v>1358</v>
      </c>
      <c r="K132" t="s">
        <v>1359</v>
      </c>
      <c r="L132" t="s">
        <v>1360</v>
      </c>
      <c r="M132">
        <v>0</v>
      </c>
      <c r="N132">
        <v>0</v>
      </c>
      <c r="O132">
        <v>0</v>
      </c>
      <c r="P132" t="s">
        <v>1361</v>
      </c>
      <c r="Q132" t="s">
        <v>30</v>
      </c>
      <c r="R132" t="s">
        <v>30</v>
      </c>
      <c r="S132">
        <v>354</v>
      </c>
      <c r="T132" t="s">
        <v>1362</v>
      </c>
      <c r="U132" t="s">
        <v>84</v>
      </c>
      <c r="V132" t="s">
        <v>32</v>
      </c>
      <c r="W132" t="s">
        <v>32</v>
      </c>
    </row>
    <row r="133" spans="1:23" x14ac:dyDescent="0.2">
      <c r="A133" t="s">
        <v>1363</v>
      </c>
      <c r="B133" t="s">
        <v>1364</v>
      </c>
      <c r="C133">
        <v>89</v>
      </c>
      <c r="D133">
        <v>44</v>
      </c>
      <c r="E133" t="s">
        <v>1365</v>
      </c>
      <c r="F133" t="s">
        <v>1366</v>
      </c>
      <c r="G133" t="s">
        <v>1367</v>
      </c>
      <c r="H133" t="s">
        <v>1368</v>
      </c>
      <c r="I133" t="s">
        <v>1369</v>
      </c>
      <c r="J133" t="s">
        <v>1370</v>
      </c>
      <c r="K133" t="s">
        <v>1371</v>
      </c>
      <c r="L133" t="s">
        <v>1372</v>
      </c>
      <c r="M133">
        <v>92</v>
      </c>
      <c r="N133">
        <v>16</v>
      </c>
      <c r="O133">
        <v>1.1499999999999999</v>
      </c>
      <c r="P133" t="s">
        <v>1373</v>
      </c>
      <c r="Q133" t="s">
        <v>1374</v>
      </c>
      <c r="R133" t="s">
        <v>1375</v>
      </c>
      <c r="S133">
        <v>209</v>
      </c>
      <c r="T133" t="s">
        <v>1376</v>
      </c>
      <c r="U133" t="s">
        <v>32</v>
      </c>
      <c r="V133" t="s">
        <v>32</v>
      </c>
      <c r="W133" t="s">
        <v>32</v>
      </c>
    </row>
    <row r="134" spans="1:23" x14ac:dyDescent="0.2">
      <c r="A134" t="s">
        <v>1377</v>
      </c>
      <c r="B134" t="s">
        <v>1377</v>
      </c>
      <c r="C134">
        <v>1352</v>
      </c>
      <c r="D134">
        <v>63</v>
      </c>
      <c r="E134" t="s">
        <v>1378</v>
      </c>
      <c r="F134" t="s">
        <v>1379</v>
      </c>
      <c r="G134" t="s">
        <v>1380</v>
      </c>
      <c r="H134" t="s">
        <v>1381</v>
      </c>
      <c r="I134" t="s">
        <v>32</v>
      </c>
      <c r="J134" t="s">
        <v>1382</v>
      </c>
      <c r="K134" t="s">
        <v>201</v>
      </c>
      <c r="L134" t="s">
        <v>1383</v>
      </c>
      <c r="M134">
        <v>0</v>
      </c>
      <c r="N134">
        <v>0</v>
      </c>
      <c r="O134">
        <v>0</v>
      </c>
      <c r="P134" t="s">
        <v>1384</v>
      </c>
      <c r="Q134" t="s">
        <v>30</v>
      </c>
      <c r="R134" t="s">
        <v>30</v>
      </c>
      <c r="S134">
        <v>0</v>
      </c>
      <c r="T134" t="s">
        <v>30</v>
      </c>
      <c r="U134" t="s">
        <v>32</v>
      </c>
      <c r="V134" t="s">
        <v>32</v>
      </c>
      <c r="W134" t="s">
        <v>32</v>
      </c>
    </row>
    <row r="135" spans="1:23" x14ac:dyDescent="0.2">
      <c r="A135" t="s">
        <v>1385</v>
      </c>
      <c r="B135" t="s">
        <v>1385</v>
      </c>
      <c r="C135">
        <v>193</v>
      </c>
      <c r="D135">
        <v>44</v>
      </c>
      <c r="E135" t="s">
        <v>1386</v>
      </c>
      <c r="F135" t="s">
        <v>1387</v>
      </c>
      <c r="G135" t="s">
        <v>1388</v>
      </c>
      <c r="H135" t="s">
        <v>1389</v>
      </c>
      <c r="I135" t="s">
        <v>1390</v>
      </c>
      <c r="J135" t="s">
        <v>1391</v>
      </c>
      <c r="K135" t="s">
        <v>1392</v>
      </c>
      <c r="L135" t="s">
        <v>1393</v>
      </c>
      <c r="M135">
        <v>0</v>
      </c>
      <c r="N135">
        <v>0</v>
      </c>
      <c r="O135">
        <v>0</v>
      </c>
      <c r="P135" t="s">
        <v>1394</v>
      </c>
      <c r="Q135" t="s">
        <v>30</v>
      </c>
      <c r="R135" t="s">
        <v>30</v>
      </c>
      <c r="S135">
        <v>84</v>
      </c>
      <c r="T135" t="s">
        <v>1395</v>
      </c>
      <c r="U135" t="s">
        <v>84</v>
      </c>
      <c r="V135" t="s">
        <v>32</v>
      </c>
      <c r="W135" t="s">
        <v>32</v>
      </c>
    </row>
    <row r="136" spans="1:23" x14ac:dyDescent="0.2">
      <c r="A136" t="s">
        <v>1396</v>
      </c>
      <c r="B136" t="s">
        <v>1397</v>
      </c>
      <c r="C136">
        <v>1362</v>
      </c>
      <c r="D136">
        <v>63</v>
      </c>
      <c r="E136" t="s">
        <v>1398</v>
      </c>
      <c r="F136" t="s">
        <v>1399</v>
      </c>
      <c r="G136" t="s">
        <v>1400</v>
      </c>
      <c r="H136" t="s">
        <v>1401</v>
      </c>
      <c r="I136" t="s">
        <v>720</v>
      </c>
      <c r="J136" t="s">
        <v>1402</v>
      </c>
      <c r="K136" t="s">
        <v>191</v>
      </c>
      <c r="L136" t="s">
        <v>1403</v>
      </c>
      <c r="M136">
        <v>0</v>
      </c>
      <c r="N136">
        <v>0</v>
      </c>
      <c r="O136">
        <v>0</v>
      </c>
      <c r="P136" t="s">
        <v>1404</v>
      </c>
      <c r="Q136" t="s">
        <v>30</v>
      </c>
      <c r="R136" t="s">
        <v>30</v>
      </c>
      <c r="S136">
        <v>0</v>
      </c>
      <c r="T136" t="s">
        <v>30</v>
      </c>
      <c r="U136" t="s">
        <v>32</v>
      </c>
      <c r="V136" t="s">
        <v>32</v>
      </c>
      <c r="W136" t="s">
        <v>32</v>
      </c>
    </row>
    <row r="137" spans="1:23" x14ac:dyDescent="0.2">
      <c r="A137" t="s">
        <v>1405</v>
      </c>
      <c r="B137" t="s">
        <v>1406</v>
      </c>
      <c r="C137">
        <v>104</v>
      </c>
      <c r="D137">
        <v>48</v>
      </c>
      <c r="E137" t="s">
        <v>1407</v>
      </c>
      <c r="F137" t="s">
        <v>1408</v>
      </c>
      <c r="G137" t="s">
        <v>1409</v>
      </c>
      <c r="H137" t="s">
        <v>1410</v>
      </c>
      <c r="I137" t="s">
        <v>1411</v>
      </c>
      <c r="J137" t="s">
        <v>1412</v>
      </c>
      <c r="K137" t="s">
        <v>80</v>
      </c>
      <c r="L137" t="s">
        <v>1413</v>
      </c>
      <c r="M137">
        <v>546</v>
      </c>
      <c r="N137">
        <v>45</v>
      </c>
      <c r="O137">
        <v>1.18</v>
      </c>
      <c r="P137" t="s">
        <v>1414</v>
      </c>
      <c r="Q137" t="s">
        <v>485</v>
      </c>
      <c r="R137" t="s">
        <v>1415</v>
      </c>
      <c r="S137">
        <v>477</v>
      </c>
      <c r="T137" t="s">
        <v>1415</v>
      </c>
      <c r="U137" t="s">
        <v>84</v>
      </c>
      <c r="V137" t="s">
        <v>32</v>
      </c>
      <c r="W137" t="s">
        <v>32</v>
      </c>
    </row>
    <row r="138" spans="1:23" x14ac:dyDescent="0.2">
      <c r="A138" t="s">
        <v>1416</v>
      </c>
      <c r="B138" t="s">
        <v>1417</v>
      </c>
      <c r="C138">
        <v>1367</v>
      </c>
      <c r="D138">
        <v>62</v>
      </c>
      <c r="E138" t="s">
        <v>1418</v>
      </c>
      <c r="F138" t="s">
        <v>1419</v>
      </c>
      <c r="G138" t="s">
        <v>1420</v>
      </c>
      <c r="H138" t="s">
        <v>1421</v>
      </c>
      <c r="I138" t="s">
        <v>1422</v>
      </c>
      <c r="J138" t="s">
        <v>1423</v>
      </c>
      <c r="K138" t="s">
        <v>1424</v>
      </c>
      <c r="L138" t="s">
        <v>1425</v>
      </c>
      <c r="M138">
        <v>430</v>
      </c>
      <c r="N138">
        <v>24</v>
      </c>
      <c r="O138">
        <v>2.87</v>
      </c>
      <c r="P138" t="s">
        <v>1426</v>
      </c>
      <c r="Q138" t="s">
        <v>933</v>
      </c>
      <c r="R138" t="s">
        <v>1427</v>
      </c>
      <c r="S138">
        <v>0</v>
      </c>
      <c r="T138" t="s">
        <v>30</v>
      </c>
      <c r="U138" t="s">
        <v>32</v>
      </c>
      <c r="V138" t="s">
        <v>32</v>
      </c>
      <c r="W138" t="s">
        <v>32</v>
      </c>
    </row>
    <row r="139" spans="1:23" x14ac:dyDescent="0.2">
      <c r="A139" t="s">
        <v>1428</v>
      </c>
      <c r="B139" t="s">
        <v>1429</v>
      </c>
      <c r="C139">
        <v>137</v>
      </c>
      <c r="D139">
        <v>82</v>
      </c>
      <c r="E139" t="s">
        <v>1430</v>
      </c>
      <c r="F139" t="s">
        <v>1431</v>
      </c>
      <c r="G139" t="s">
        <v>1432</v>
      </c>
      <c r="H139" t="s">
        <v>1433</v>
      </c>
      <c r="I139" t="s">
        <v>1434</v>
      </c>
      <c r="J139" t="s">
        <v>1435</v>
      </c>
      <c r="K139" t="s">
        <v>1436</v>
      </c>
      <c r="L139" t="s">
        <v>1437</v>
      </c>
      <c r="M139">
        <v>1359</v>
      </c>
      <c r="N139">
        <v>32</v>
      </c>
      <c r="O139">
        <v>5.98</v>
      </c>
      <c r="P139" t="s">
        <v>1438</v>
      </c>
      <c r="Q139" t="s">
        <v>1439</v>
      </c>
      <c r="R139" t="s">
        <v>1440</v>
      </c>
      <c r="S139">
        <v>876</v>
      </c>
      <c r="T139" t="s">
        <v>1441</v>
      </c>
      <c r="U139" t="s">
        <v>32</v>
      </c>
      <c r="V139" t="s">
        <v>32</v>
      </c>
      <c r="W139" t="s">
        <v>32</v>
      </c>
    </row>
    <row r="140" spans="1:23" x14ac:dyDescent="0.2">
      <c r="A140" t="s">
        <v>1442</v>
      </c>
      <c r="B140" t="s">
        <v>1442</v>
      </c>
      <c r="C140">
        <v>1030</v>
      </c>
      <c r="D140">
        <v>65</v>
      </c>
      <c r="E140" t="s">
        <v>1443</v>
      </c>
      <c r="F140" t="s">
        <v>1444</v>
      </c>
      <c r="G140" t="s">
        <v>1445</v>
      </c>
      <c r="H140" t="s">
        <v>1446</v>
      </c>
      <c r="I140" t="s">
        <v>32</v>
      </c>
      <c r="J140" t="s">
        <v>1447</v>
      </c>
      <c r="K140" t="s">
        <v>458</v>
      </c>
      <c r="L140" t="s">
        <v>1448</v>
      </c>
      <c r="M140">
        <v>0</v>
      </c>
      <c r="N140">
        <v>0</v>
      </c>
      <c r="O140">
        <v>0</v>
      </c>
      <c r="P140" t="s">
        <v>1449</v>
      </c>
      <c r="Q140" t="s">
        <v>30</v>
      </c>
      <c r="R140" t="s">
        <v>30</v>
      </c>
      <c r="S140">
        <v>0</v>
      </c>
      <c r="T140" t="s">
        <v>30</v>
      </c>
      <c r="U140" t="s">
        <v>32</v>
      </c>
      <c r="V140" t="s">
        <v>32</v>
      </c>
      <c r="W140" t="s">
        <v>32</v>
      </c>
    </row>
    <row r="141" spans="1:23" x14ac:dyDescent="0.2">
      <c r="A141" t="s">
        <v>1450</v>
      </c>
      <c r="B141" t="s">
        <v>1450</v>
      </c>
      <c r="C141">
        <v>141</v>
      </c>
      <c r="D141">
        <v>72</v>
      </c>
      <c r="E141" t="s">
        <v>1451</v>
      </c>
      <c r="F141" t="s">
        <v>1452</v>
      </c>
      <c r="G141" t="s">
        <v>1453</v>
      </c>
      <c r="H141" t="s">
        <v>1454</v>
      </c>
      <c r="I141" t="s">
        <v>1455</v>
      </c>
      <c r="J141" t="s">
        <v>1456</v>
      </c>
      <c r="K141" t="s">
        <v>1457</v>
      </c>
      <c r="L141" t="s">
        <v>122</v>
      </c>
      <c r="M141">
        <v>0</v>
      </c>
      <c r="N141">
        <v>0</v>
      </c>
      <c r="O141">
        <v>0</v>
      </c>
      <c r="P141" t="s">
        <v>1458</v>
      </c>
      <c r="Q141" t="s">
        <v>30</v>
      </c>
      <c r="R141" t="s">
        <v>30</v>
      </c>
      <c r="S141">
        <v>363</v>
      </c>
      <c r="T141" t="s">
        <v>1459</v>
      </c>
      <c r="U141" t="s">
        <v>32</v>
      </c>
      <c r="V141" t="s">
        <v>32</v>
      </c>
      <c r="W141" t="s">
        <v>32</v>
      </c>
    </row>
    <row r="142" spans="1:23" x14ac:dyDescent="0.2">
      <c r="A142" t="s">
        <v>1460</v>
      </c>
      <c r="B142" t="s">
        <v>1461</v>
      </c>
      <c r="C142">
        <v>153</v>
      </c>
      <c r="D142">
        <v>19</v>
      </c>
      <c r="E142" t="s">
        <v>1462</v>
      </c>
      <c r="F142" t="s">
        <v>1463</v>
      </c>
      <c r="G142" t="s">
        <v>1464</v>
      </c>
      <c r="H142" t="s">
        <v>256</v>
      </c>
      <c r="I142" t="s">
        <v>639</v>
      </c>
      <c r="J142" t="s">
        <v>1465</v>
      </c>
      <c r="K142" t="s">
        <v>1466</v>
      </c>
      <c r="L142" t="s">
        <v>1467</v>
      </c>
      <c r="M142">
        <v>231</v>
      </c>
      <c r="N142">
        <v>5</v>
      </c>
      <c r="O142">
        <v>0.23</v>
      </c>
      <c r="P142" t="s">
        <v>1468</v>
      </c>
      <c r="Q142" t="s">
        <v>1469</v>
      </c>
      <c r="R142" t="s">
        <v>1470</v>
      </c>
      <c r="S142">
        <v>205</v>
      </c>
      <c r="T142" t="s">
        <v>1470</v>
      </c>
      <c r="U142" t="s">
        <v>32</v>
      </c>
      <c r="V142" t="s">
        <v>32</v>
      </c>
      <c r="W142" t="s">
        <v>32</v>
      </c>
    </row>
    <row r="143" spans="1:23" x14ac:dyDescent="0.2">
      <c r="A143" t="s">
        <v>1471</v>
      </c>
      <c r="B143" t="s">
        <v>1472</v>
      </c>
      <c r="C143">
        <v>219</v>
      </c>
      <c r="D143">
        <v>44</v>
      </c>
      <c r="E143" t="s">
        <v>1473</v>
      </c>
      <c r="F143" t="s">
        <v>1474</v>
      </c>
      <c r="G143" t="s">
        <v>1475</v>
      </c>
      <c r="H143" t="s">
        <v>1476</v>
      </c>
      <c r="I143" t="s">
        <v>219</v>
      </c>
      <c r="J143" t="s">
        <v>1477</v>
      </c>
      <c r="K143" t="s">
        <v>1478</v>
      </c>
      <c r="L143" t="s">
        <v>1479</v>
      </c>
      <c r="M143">
        <v>419</v>
      </c>
      <c r="N143">
        <v>18</v>
      </c>
      <c r="O143">
        <v>0.82</v>
      </c>
      <c r="P143" t="s">
        <v>1480</v>
      </c>
      <c r="Q143" t="s">
        <v>1481</v>
      </c>
      <c r="R143" t="s">
        <v>1482</v>
      </c>
      <c r="S143">
        <v>637</v>
      </c>
      <c r="T143" t="s">
        <v>1483</v>
      </c>
      <c r="U143" t="s">
        <v>32</v>
      </c>
      <c r="V143" t="s">
        <v>32</v>
      </c>
      <c r="W143" t="s">
        <v>32</v>
      </c>
    </row>
    <row r="144" spans="1:23" x14ac:dyDescent="0.2">
      <c r="A144" t="s">
        <v>1484</v>
      </c>
      <c r="B144" t="s">
        <v>1485</v>
      </c>
      <c r="C144">
        <v>1363</v>
      </c>
      <c r="D144">
        <v>63</v>
      </c>
      <c r="E144" t="s">
        <v>1486</v>
      </c>
      <c r="F144" t="s">
        <v>1487</v>
      </c>
      <c r="G144" t="s">
        <v>1488</v>
      </c>
      <c r="H144" t="s">
        <v>1489</v>
      </c>
      <c r="I144" t="s">
        <v>742</v>
      </c>
      <c r="J144" t="s">
        <v>1490</v>
      </c>
      <c r="K144" t="s">
        <v>1424</v>
      </c>
      <c r="L144" t="s">
        <v>790</v>
      </c>
      <c r="M144">
        <v>0</v>
      </c>
      <c r="N144">
        <v>0</v>
      </c>
      <c r="O144">
        <v>0</v>
      </c>
      <c r="P144" t="s">
        <v>1491</v>
      </c>
      <c r="Q144" t="s">
        <v>30</v>
      </c>
      <c r="R144" t="s">
        <v>30</v>
      </c>
      <c r="S144">
        <v>0</v>
      </c>
      <c r="T144" t="s">
        <v>30</v>
      </c>
      <c r="U144" t="s">
        <v>32</v>
      </c>
      <c r="V144" t="s">
        <v>32</v>
      </c>
      <c r="W144" t="s">
        <v>32</v>
      </c>
    </row>
    <row r="145" spans="1:23" x14ac:dyDescent="0.2">
      <c r="A145" t="s">
        <v>1492</v>
      </c>
      <c r="B145" t="s">
        <v>1493</v>
      </c>
      <c r="C145">
        <v>201</v>
      </c>
      <c r="D145">
        <v>45</v>
      </c>
      <c r="E145" t="s">
        <v>1494</v>
      </c>
      <c r="F145" t="s">
        <v>1495</v>
      </c>
      <c r="G145" t="s">
        <v>1496</v>
      </c>
      <c r="H145" t="s">
        <v>1497</v>
      </c>
      <c r="I145" t="s">
        <v>1498</v>
      </c>
      <c r="J145" t="s">
        <v>1499</v>
      </c>
      <c r="K145" t="s">
        <v>1500</v>
      </c>
      <c r="L145" t="s">
        <v>1501</v>
      </c>
      <c r="M145">
        <v>420</v>
      </c>
      <c r="N145">
        <v>12</v>
      </c>
      <c r="O145">
        <v>0.47</v>
      </c>
      <c r="P145" t="s">
        <v>1502</v>
      </c>
      <c r="Q145" t="s">
        <v>1503</v>
      </c>
      <c r="R145" t="s">
        <v>1504</v>
      </c>
      <c r="S145">
        <v>391</v>
      </c>
      <c r="T145" t="s">
        <v>1504</v>
      </c>
      <c r="U145" t="s">
        <v>32</v>
      </c>
      <c r="V145" t="s">
        <v>32</v>
      </c>
      <c r="W145" t="s">
        <v>32</v>
      </c>
    </row>
    <row r="146" spans="1:23" x14ac:dyDescent="0.2">
      <c r="A146" t="s">
        <v>1505</v>
      </c>
      <c r="B146" t="s">
        <v>1506</v>
      </c>
      <c r="C146">
        <v>116</v>
      </c>
      <c r="D146">
        <v>18</v>
      </c>
      <c r="E146" t="s">
        <v>1507</v>
      </c>
      <c r="F146" t="s">
        <v>1508</v>
      </c>
      <c r="G146" t="s">
        <v>1509</v>
      </c>
      <c r="H146" t="s">
        <v>1510</v>
      </c>
      <c r="I146" t="s">
        <v>32</v>
      </c>
      <c r="J146" t="s">
        <v>1511</v>
      </c>
      <c r="K146" t="s">
        <v>1512</v>
      </c>
      <c r="L146" t="s">
        <v>1513</v>
      </c>
      <c r="M146">
        <v>240</v>
      </c>
      <c r="N146">
        <v>2</v>
      </c>
      <c r="O146">
        <v>0.23</v>
      </c>
      <c r="P146" t="s">
        <v>868</v>
      </c>
      <c r="Q146" t="s">
        <v>1514</v>
      </c>
      <c r="R146" t="s">
        <v>1515</v>
      </c>
      <c r="S146">
        <v>53</v>
      </c>
      <c r="T146" t="s">
        <v>1516</v>
      </c>
      <c r="U146" t="s">
        <v>32</v>
      </c>
      <c r="V146" t="s">
        <v>32</v>
      </c>
      <c r="W146" t="s">
        <v>32</v>
      </c>
    </row>
    <row r="147" spans="1:23" x14ac:dyDescent="0.2">
      <c r="A147" t="s">
        <v>588</v>
      </c>
      <c r="B147" t="s">
        <v>1517</v>
      </c>
      <c r="C147">
        <v>1874</v>
      </c>
      <c r="D147">
        <v>52</v>
      </c>
      <c r="E147" t="s">
        <v>1518</v>
      </c>
      <c r="F147" t="s">
        <v>1519</v>
      </c>
      <c r="G147" t="s">
        <v>1520</v>
      </c>
      <c r="H147" t="s">
        <v>1521</v>
      </c>
      <c r="I147" t="s">
        <v>32</v>
      </c>
      <c r="J147" t="s">
        <v>1522</v>
      </c>
      <c r="K147" t="s">
        <v>696</v>
      </c>
      <c r="L147" t="s">
        <v>1337</v>
      </c>
      <c r="M147">
        <v>0</v>
      </c>
      <c r="N147">
        <v>0</v>
      </c>
      <c r="O147">
        <v>0</v>
      </c>
      <c r="P147" t="s">
        <v>1317</v>
      </c>
      <c r="Q147" t="s">
        <v>30</v>
      </c>
      <c r="R147" t="s">
        <v>30</v>
      </c>
      <c r="S147">
        <v>0</v>
      </c>
      <c r="T147" t="s">
        <v>30</v>
      </c>
      <c r="U147" t="s">
        <v>32</v>
      </c>
      <c r="V147" t="s">
        <v>32</v>
      </c>
      <c r="W147" t="s">
        <v>32</v>
      </c>
    </row>
    <row r="148" spans="1:23" x14ac:dyDescent="0.2">
      <c r="A148" t="s">
        <v>1523</v>
      </c>
      <c r="B148" t="s">
        <v>1523</v>
      </c>
      <c r="C148">
        <v>140</v>
      </c>
      <c r="D148">
        <v>21</v>
      </c>
      <c r="E148" t="s">
        <v>1524</v>
      </c>
      <c r="F148" t="s">
        <v>1525</v>
      </c>
      <c r="G148" t="s">
        <v>1526</v>
      </c>
      <c r="H148" t="s">
        <v>1527</v>
      </c>
      <c r="I148" t="s">
        <v>1528</v>
      </c>
      <c r="J148" t="s">
        <v>1529</v>
      </c>
      <c r="K148" t="s">
        <v>1530</v>
      </c>
      <c r="L148" t="s">
        <v>1531</v>
      </c>
      <c r="M148">
        <v>0</v>
      </c>
      <c r="N148">
        <v>0</v>
      </c>
      <c r="O148">
        <v>0</v>
      </c>
      <c r="P148" t="s">
        <v>1532</v>
      </c>
      <c r="Q148" t="s">
        <v>30</v>
      </c>
      <c r="R148" t="s">
        <v>30</v>
      </c>
      <c r="S148">
        <v>537</v>
      </c>
      <c r="T148" t="s">
        <v>1091</v>
      </c>
      <c r="U148" t="s">
        <v>32</v>
      </c>
      <c r="V148" t="s">
        <v>32</v>
      </c>
      <c r="W148" t="s">
        <v>32</v>
      </c>
    </row>
    <row r="149" spans="1:23" x14ac:dyDescent="0.2">
      <c r="A149" t="s">
        <v>1533</v>
      </c>
      <c r="B149" t="s">
        <v>1534</v>
      </c>
      <c r="C149">
        <v>91</v>
      </c>
      <c r="D149">
        <v>47</v>
      </c>
      <c r="E149" t="s">
        <v>1535</v>
      </c>
      <c r="F149" t="s">
        <v>1536</v>
      </c>
      <c r="G149" t="s">
        <v>1537</v>
      </c>
      <c r="H149" t="s">
        <v>1538</v>
      </c>
      <c r="I149" t="s">
        <v>1411</v>
      </c>
      <c r="J149" t="s">
        <v>1539</v>
      </c>
      <c r="K149" t="s">
        <v>1540</v>
      </c>
      <c r="L149" t="s">
        <v>1541</v>
      </c>
      <c r="M149">
        <v>506</v>
      </c>
      <c r="N149">
        <v>150</v>
      </c>
      <c r="O149">
        <v>97.75</v>
      </c>
      <c r="P149" t="s">
        <v>1542</v>
      </c>
      <c r="Q149" t="s">
        <v>1543</v>
      </c>
      <c r="R149" t="s">
        <v>1544</v>
      </c>
      <c r="S149">
        <v>197</v>
      </c>
      <c r="T149" t="s">
        <v>1545</v>
      </c>
      <c r="U149" t="s">
        <v>32</v>
      </c>
      <c r="V149" t="s">
        <v>32</v>
      </c>
      <c r="W149" t="s">
        <v>32</v>
      </c>
    </row>
    <row r="150" spans="1:23" x14ac:dyDescent="0.2">
      <c r="A150" t="s">
        <v>1546</v>
      </c>
      <c r="B150" t="s">
        <v>1547</v>
      </c>
      <c r="C150">
        <v>19</v>
      </c>
      <c r="D150">
        <v>19</v>
      </c>
      <c r="E150" t="s">
        <v>1548</v>
      </c>
      <c r="F150" t="s">
        <v>1549</v>
      </c>
      <c r="G150" t="s">
        <v>1548</v>
      </c>
      <c r="H150" t="s">
        <v>1549</v>
      </c>
      <c r="I150" t="s">
        <v>865</v>
      </c>
      <c r="J150" t="s">
        <v>1550</v>
      </c>
      <c r="K150" t="s">
        <v>1551</v>
      </c>
      <c r="L150" t="s">
        <v>1551</v>
      </c>
      <c r="M150">
        <v>237</v>
      </c>
      <c r="N150">
        <v>1</v>
      </c>
      <c r="O150">
        <v>0.2</v>
      </c>
      <c r="P150" t="s">
        <v>1552</v>
      </c>
      <c r="Q150" t="s">
        <v>1553</v>
      </c>
      <c r="R150" t="s">
        <v>154</v>
      </c>
      <c r="S150">
        <v>82</v>
      </c>
      <c r="T150" t="s">
        <v>154</v>
      </c>
      <c r="U150" t="s">
        <v>32</v>
      </c>
      <c r="V150" t="s">
        <v>32</v>
      </c>
      <c r="W150" t="s">
        <v>32</v>
      </c>
    </row>
    <row r="151" spans="1:23" x14ac:dyDescent="0.2">
      <c r="A151" t="s">
        <v>1554</v>
      </c>
      <c r="B151" t="s">
        <v>1555</v>
      </c>
      <c r="C151">
        <v>48</v>
      </c>
      <c r="D151">
        <v>48</v>
      </c>
      <c r="E151" t="s">
        <v>1556</v>
      </c>
      <c r="F151" t="s">
        <v>1557</v>
      </c>
      <c r="G151" t="s">
        <v>1556</v>
      </c>
      <c r="H151" t="s">
        <v>1557</v>
      </c>
      <c r="I151" t="s">
        <v>1558</v>
      </c>
      <c r="J151" t="s">
        <v>1559</v>
      </c>
      <c r="K151" t="s">
        <v>1560</v>
      </c>
      <c r="L151" t="s">
        <v>1560</v>
      </c>
      <c r="M151">
        <v>481</v>
      </c>
      <c r="N151">
        <v>52</v>
      </c>
      <c r="O151">
        <v>6.2</v>
      </c>
      <c r="P151" t="s">
        <v>1561</v>
      </c>
      <c r="Q151" t="s">
        <v>232</v>
      </c>
      <c r="R151" t="s">
        <v>1562</v>
      </c>
      <c r="S151">
        <v>126</v>
      </c>
      <c r="T151" t="s">
        <v>1563</v>
      </c>
      <c r="U151" t="s">
        <v>84</v>
      </c>
      <c r="V151" t="s">
        <v>32</v>
      </c>
      <c r="W151" t="s">
        <v>32</v>
      </c>
    </row>
    <row r="152" spans="1:23" x14ac:dyDescent="0.2">
      <c r="A152" t="s">
        <v>1564</v>
      </c>
      <c r="B152" t="s">
        <v>1565</v>
      </c>
      <c r="C152">
        <v>79</v>
      </c>
      <c r="D152">
        <v>62</v>
      </c>
      <c r="E152" t="s">
        <v>1566</v>
      </c>
      <c r="F152" t="s">
        <v>1567</v>
      </c>
      <c r="G152" t="s">
        <v>1568</v>
      </c>
      <c r="H152" t="s">
        <v>1569</v>
      </c>
      <c r="I152" t="s">
        <v>1570</v>
      </c>
      <c r="J152" t="s">
        <v>1571</v>
      </c>
      <c r="K152" t="s">
        <v>1572</v>
      </c>
      <c r="L152" t="s">
        <v>1573</v>
      </c>
      <c r="M152">
        <v>869</v>
      </c>
      <c r="N152">
        <v>20</v>
      </c>
      <c r="O152">
        <v>1.87</v>
      </c>
      <c r="P152" t="s">
        <v>1574</v>
      </c>
      <c r="Q152" t="s">
        <v>328</v>
      </c>
      <c r="R152" t="s">
        <v>1575</v>
      </c>
      <c r="S152">
        <v>210</v>
      </c>
      <c r="T152" t="s">
        <v>1575</v>
      </c>
      <c r="U152" t="s">
        <v>32</v>
      </c>
      <c r="V152" t="s">
        <v>32</v>
      </c>
      <c r="W152" t="s">
        <v>32</v>
      </c>
    </row>
    <row r="153" spans="1:23" x14ac:dyDescent="0.2">
      <c r="A153" t="s">
        <v>1576</v>
      </c>
      <c r="B153" t="s">
        <v>1577</v>
      </c>
      <c r="C153">
        <v>104</v>
      </c>
      <c r="D153">
        <v>81</v>
      </c>
      <c r="E153" t="s">
        <v>1578</v>
      </c>
      <c r="F153" t="s">
        <v>1579</v>
      </c>
      <c r="G153" t="s">
        <v>1580</v>
      </c>
      <c r="H153" t="s">
        <v>1581</v>
      </c>
      <c r="I153" t="s">
        <v>1582</v>
      </c>
      <c r="J153" t="s">
        <v>1583</v>
      </c>
      <c r="K153" t="s">
        <v>1584</v>
      </c>
      <c r="L153" t="s">
        <v>1585</v>
      </c>
      <c r="M153">
        <v>863</v>
      </c>
      <c r="N153">
        <v>21</v>
      </c>
      <c r="O153">
        <v>7.92</v>
      </c>
      <c r="P153" t="s">
        <v>1502</v>
      </c>
      <c r="Q153" t="s">
        <v>1586</v>
      </c>
      <c r="R153" t="s">
        <v>1587</v>
      </c>
      <c r="S153">
        <v>184</v>
      </c>
      <c r="T153" t="s">
        <v>1588</v>
      </c>
      <c r="U153" t="s">
        <v>84</v>
      </c>
      <c r="V153" t="s">
        <v>32</v>
      </c>
      <c r="W153" t="s">
        <v>32</v>
      </c>
    </row>
    <row r="154" spans="1:23" x14ac:dyDescent="0.2">
      <c r="A154" t="s">
        <v>1589</v>
      </c>
      <c r="B154" t="s">
        <v>1589</v>
      </c>
      <c r="C154">
        <v>38</v>
      </c>
      <c r="D154">
        <v>38</v>
      </c>
      <c r="E154" t="s">
        <v>1590</v>
      </c>
      <c r="F154" t="s">
        <v>1591</v>
      </c>
      <c r="G154" t="s">
        <v>1590</v>
      </c>
      <c r="H154" t="s">
        <v>1591</v>
      </c>
      <c r="I154" t="s">
        <v>1592</v>
      </c>
      <c r="J154" t="s">
        <v>1593</v>
      </c>
      <c r="K154" t="s">
        <v>1594</v>
      </c>
      <c r="L154" t="s">
        <v>1594</v>
      </c>
      <c r="M154">
        <v>0</v>
      </c>
      <c r="N154">
        <v>0</v>
      </c>
      <c r="O154">
        <v>0</v>
      </c>
      <c r="P154" t="s">
        <v>1595</v>
      </c>
      <c r="Q154" t="s">
        <v>30</v>
      </c>
      <c r="R154" t="s">
        <v>30</v>
      </c>
      <c r="S154">
        <v>228</v>
      </c>
      <c r="T154" t="s">
        <v>98</v>
      </c>
      <c r="U154" t="s">
        <v>32</v>
      </c>
      <c r="V154" t="s">
        <v>32</v>
      </c>
      <c r="W154" t="s">
        <v>32</v>
      </c>
    </row>
    <row r="155" spans="1:23" x14ac:dyDescent="0.2">
      <c r="A155" t="s">
        <v>1596</v>
      </c>
      <c r="B155" t="s">
        <v>1596</v>
      </c>
      <c r="C155">
        <v>138</v>
      </c>
      <c r="D155">
        <v>80</v>
      </c>
      <c r="E155" t="s">
        <v>1597</v>
      </c>
      <c r="F155" t="s">
        <v>1598</v>
      </c>
      <c r="G155" t="s">
        <v>1599</v>
      </c>
      <c r="H155" t="s">
        <v>1600</v>
      </c>
      <c r="I155" t="s">
        <v>1601</v>
      </c>
      <c r="J155" t="s">
        <v>1602</v>
      </c>
      <c r="K155" t="s">
        <v>1603</v>
      </c>
      <c r="L155" t="s">
        <v>1604</v>
      </c>
      <c r="M155">
        <v>0</v>
      </c>
      <c r="N155">
        <v>0</v>
      </c>
      <c r="O155">
        <v>0</v>
      </c>
      <c r="P155" t="s">
        <v>1605</v>
      </c>
      <c r="Q155" t="s">
        <v>30</v>
      </c>
      <c r="R155" t="s">
        <v>30</v>
      </c>
      <c r="S155">
        <v>990</v>
      </c>
      <c r="T155" t="s">
        <v>1606</v>
      </c>
      <c r="U155" t="s">
        <v>32</v>
      </c>
      <c r="V155" t="s">
        <v>32</v>
      </c>
      <c r="W155" t="s">
        <v>32</v>
      </c>
    </row>
    <row r="156" spans="1:23" x14ac:dyDescent="0.2">
      <c r="A156" t="s">
        <v>1607</v>
      </c>
      <c r="B156" t="s">
        <v>1607</v>
      </c>
      <c r="C156">
        <v>2229</v>
      </c>
      <c r="D156">
        <v>65</v>
      </c>
      <c r="E156" t="s">
        <v>1608</v>
      </c>
      <c r="F156" t="s">
        <v>1609</v>
      </c>
      <c r="G156" t="s">
        <v>1610</v>
      </c>
      <c r="H156" t="s">
        <v>1611</v>
      </c>
      <c r="I156" t="s">
        <v>32</v>
      </c>
      <c r="J156" t="s">
        <v>1612</v>
      </c>
      <c r="K156" t="s">
        <v>1613</v>
      </c>
      <c r="L156" t="s">
        <v>1614</v>
      </c>
      <c r="M156">
        <v>0</v>
      </c>
      <c r="N156">
        <v>0</v>
      </c>
      <c r="O156">
        <v>0</v>
      </c>
      <c r="P156" t="s">
        <v>1615</v>
      </c>
      <c r="Q156" t="s">
        <v>30</v>
      </c>
      <c r="R156" t="s">
        <v>30</v>
      </c>
      <c r="S156">
        <v>0</v>
      </c>
      <c r="T156" t="s">
        <v>30</v>
      </c>
      <c r="U156" t="s">
        <v>32</v>
      </c>
      <c r="V156" t="s">
        <v>32</v>
      </c>
      <c r="W156" t="s">
        <v>32</v>
      </c>
    </row>
    <row r="157" spans="1:23" x14ac:dyDescent="0.2">
      <c r="A157" t="s">
        <v>1616</v>
      </c>
      <c r="B157" t="s">
        <v>1616</v>
      </c>
      <c r="C157">
        <v>104</v>
      </c>
      <c r="D157">
        <v>17</v>
      </c>
      <c r="E157" t="s">
        <v>1617</v>
      </c>
      <c r="F157" t="s">
        <v>1618</v>
      </c>
      <c r="G157" t="s">
        <v>1619</v>
      </c>
      <c r="H157" t="s">
        <v>1620</v>
      </c>
      <c r="I157" t="s">
        <v>720</v>
      </c>
      <c r="J157" t="s">
        <v>1621</v>
      </c>
      <c r="K157" t="s">
        <v>374</v>
      </c>
      <c r="L157" t="s">
        <v>1622</v>
      </c>
      <c r="M157">
        <v>0</v>
      </c>
      <c r="N157">
        <v>0</v>
      </c>
      <c r="O157">
        <v>0</v>
      </c>
      <c r="P157" t="s">
        <v>1623</v>
      </c>
      <c r="Q157" t="s">
        <v>30</v>
      </c>
      <c r="R157" t="s">
        <v>30</v>
      </c>
      <c r="S157">
        <v>166</v>
      </c>
      <c r="T157" t="s">
        <v>1624</v>
      </c>
      <c r="U157" t="s">
        <v>32</v>
      </c>
      <c r="V157" t="s">
        <v>32</v>
      </c>
      <c r="W157" t="s">
        <v>32</v>
      </c>
    </row>
    <row r="158" spans="1:23" x14ac:dyDescent="0.2">
      <c r="A158" t="s">
        <v>1625</v>
      </c>
      <c r="B158" t="s">
        <v>1625</v>
      </c>
      <c r="C158">
        <v>22</v>
      </c>
      <c r="D158">
        <v>22</v>
      </c>
      <c r="E158" t="s">
        <v>1626</v>
      </c>
      <c r="F158" t="s">
        <v>1627</v>
      </c>
      <c r="G158" t="s">
        <v>1626</v>
      </c>
      <c r="H158" t="s">
        <v>1627</v>
      </c>
      <c r="I158" t="s">
        <v>1628</v>
      </c>
      <c r="J158" t="s">
        <v>1629</v>
      </c>
      <c r="K158" t="s">
        <v>1630</v>
      </c>
      <c r="L158" t="s">
        <v>1630</v>
      </c>
      <c r="M158">
        <v>0</v>
      </c>
      <c r="N158">
        <v>0</v>
      </c>
      <c r="O158">
        <v>0</v>
      </c>
      <c r="P158" t="s">
        <v>1631</v>
      </c>
      <c r="Q158" t="s">
        <v>30</v>
      </c>
      <c r="R158" t="s">
        <v>30</v>
      </c>
      <c r="S158">
        <v>22</v>
      </c>
      <c r="T158" t="s">
        <v>154</v>
      </c>
      <c r="U158" t="s">
        <v>32</v>
      </c>
      <c r="V158" t="s">
        <v>32</v>
      </c>
      <c r="W158" t="s">
        <v>32</v>
      </c>
    </row>
    <row r="159" spans="1:23" x14ac:dyDescent="0.2">
      <c r="A159" t="s">
        <v>1632</v>
      </c>
      <c r="B159" t="s">
        <v>1633</v>
      </c>
      <c r="C159">
        <v>1376</v>
      </c>
      <c r="D159">
        <v>63</v>
      </c>
      <c r="E159" t="s">
        <v>1634</v>
      </c>
      <c r="F159" t="s">
        <v>1635</v>
      </c>
      <c r="G159" t="s">
        <v>1636</v>
      </c>
      <c r="H159" t="s">
        <v>1637</v>
      </c>
      <c r="I159" t="s">
        <v>32</v>
      </c>
      <c r="J159" t="s">
        <v>1638</v>
      </c>
      <c r="K159" t="s">
        <v>696</v>
      </c>
      <c r="L159" t="s">
        <v>1639</v>
      </c>
      <c r="M159">
        <v>0</v>
      </c>
      <c r="N159">
        <v>0</v>
      </c>
      <c r="O159">
        <v>0</v>
      </c>
      <c r="P159" t="s">
        <v>1640</v>
      </c>
      <c r="Q159" t="s">
        <v>30</v>
      </c>
      <c r="R159" t="s">
        <v>30</v>
      </c>
      <c r="S159">
        <v>0</v>
      </c>
      <c r="T159" t="s">
        <v>30</v>
      </c>
      <c r="U159" t="s">
        <v>32</v>
      </c>
      <c r="V159" t="s">
        <v>32</v>
      </c>
      <c r="W159" t="s">
        <v>32</v>
      </c>
    </row>
    <row r="160" spans="1:23" x14ac:dyDescent="0.2">
      <c r="A160" t="s">
        <v>1641</v>
      </c>
      <c r="B160" t="s">
        <v>1642</v>
      </c>
      <c r="C160">
        <v>39</v>
      </c>
      <c r="D160">
        <v>39</v>
      </c>
      <c r="E160" t="s">
        <v>1643</v>
      </c>
      <c r="F160" t="s">
        <v>1644</v>
      </c>
      <c r="G160" t="s">
        <v>1643</v>
      </c>
      <c r="H160" t="s">
        <v>1644</v>
      </c>
      <c r="I160" t="s">
        <v>1645</v>
      </c>
      <c r="J160" t="s">
        <v>1646</v>
      </c>
      <c r="K160" t="s">
        <v>1647</v>
      </c>
      <c r="L160" t="s">
        <v>1647</v>
      </c>
      <c r="M160">
        <v>498</v>
      </c>
      <c r="N160">
        <v>59</v>
      </c>
      <c r="O160">
        <v>49.82</v>
      </c>
      <c r="P160" t="s">
        <v>1648</v>
      </c>
      <c r="Q160" t="s">
        <v>559</v>
      </c>
      <c r="R160" t="s">
        <v>1649</v>
      </c>
      <c r="S160">
        <v>123</v>
      </c>
      <c r="T160" t="s">
        <v>154</v>
      </c>
      <c r="U160" t="s">
        <v>32</v>
      </c>
      <c r="V160" t="s">
        <v>32</v>
      </c>
      <c r="W160" t="s">
        <v>32</v>
      </c>
    </row>
    <row r="161" spans="1:23" x14ac:dyDescent="0.2">
      <c r="A161" t="s">
        <v>1650</v>
      </c>
      <c r="B161" t="s">
        <v>1650</v>
      </c>
      <c r="C161">
        <v>1862</v>
      </c>
      <c r="D161">
        <v>52</v>
      </c>
      <c r="E161" t="s">
        <v>1651</v>
      </c>
      <c r="F161" t="s">
        <v>1652</v>
      </c>
      <c r="G161" t="s">
        <v>1653</v>
      </c>
      <c r="H161" t="s">
        <v>1654</v>
      </c>
      <c r="I161" t="s">
        <v>32</v>
      </c>
      <c r="J161" t="s">
        <v>1655</v>
      </c>
      <c r="K161" t="s">
        <v>200</v>
      </c>
      <c r="L161" t="s">
        <v>1656</v>
      </c>
      <c r="M161">
        <v>0</v>
      </c>
      <c r="N161">
        <v>0</v>
      </c>
      <c r="O161">
        <v>0</v>
      </c>
      <c r="P161" t="s">
        <v>912</v>
      </c>
      <c r="Q161" t="s">
        <v>30</v>
      </c>
      <c r="R161" t="s">
        <v>30</v>
      </c>
      <c r="S161">
        <v>0</v>
      </c>
      <c r="T161" t="s">
        <v>30</v>
      </c>
      <c r="U161" t="s">
        <v>32</v>
      </c>
      <c r="V161" t="s">
        <v>32</v>
      </c>
      <c r="W161" t="s">
        <v>32</v>
      </c>
    </row>
    <row r="162" spans="1:23" x14ac:dyDescent="0.2">
      <c r="A162" t="s">
        <v>1657</v>
      </c>
      <c r="B162" t="s">
        <v>1657</v>
      </c>
      <c r="C162">
        <v>48</v>
      </c>
      <c r="D162">
        <v>48</v>
      </c>
      <c r="E162" t="s">
        <v>1658</v>
      </c>
      <c r="F162" t="s">
        <v>1659</v>
      </c>
      <c r="G162" t="s">
        <v>1658</v>
      </c>
      <c r="H162" t="s">
        <v>1659</v>
      </c>
      <c r="I162" t="s">
        <v>1660</v>
      </c>
      <c r="J162" t="s">
        <v>1661</v>
      </c>
      <c r="K162" t="s">
        <v>1662</v>
      </c>
      <c r="L162" t="s">
        <v>1662</v>
      </c>
      <c r="M162">
        <v>0</v>
      </c>
      <c r="N162">
        <v>0</v>
      </c>
      <c r="O162">
        <v>0</v>
      </c>
      <c r="P162" t="s">
        <v>1663</v>
      </c>
      <c r="Q162" t="s">
        <v>30</v>
      </c>
      <c r="R162" t="s">
        <v>30</v>
      </c>
      <c r="S162">
        <v>249</v>
      </c>
      <c r="T162" t="s">
        <v>154</v>
      </c>
      <c r="U162" t="s">
        <v>32</v>
      </c>
      <c r="V162" t="s">
        <v>32</v>
      </c>
      <c r="W162" t="s">
        <v>32</v>
      </c>
    </row>
    <row r="163" spans="1:23" x14ac:dyDescent="0.2">
      <c r="A163" t="s">
        <v>1664</v>
      </c>
      <c r="B163" t="s">
        <v>1665</v>
      </c>
      <c r="C163">
        <v>193</v>
      </c>
      <c r="D163">
        <v>45</v>
      </c>
      <c r="E163" t="s">
        <v>1666</v>
      </c>
      <c r="F163" t="s">
        <v>1667</v>
      </c>
      <c r="G163" t="s">
        <v>1668</v>
      </c>
      <c r="H163" t="s">
        <v>1669</v>
      </c>
      <c r="I163" t="s">
        <v>1670</v>
      </c>
      <c r="J163" t="s">
        <v>1671</v>
      </c>
      <c r="K163" t="s">
        <v>1672</v>
      </c>
      <c r="L163" t="s">
        <v>1326</v>
      </c>
      <c r="M163">
        <v>444</v>
      </c>
      <c r="N163">
        <v>3</v>
      </c>
      <c r="O163">
        <v>0.22</v>
      </c>
      <c r="P163" t="s">
        <v>1673</v>
      </c>
      <c r="Q163" t="s">
        <v>1674</v>
      </c>
      <c r="R163" t="s">
        <v>1675</v>
      </c>
      <c r="S163">
        <v>375</v>
      </c>
      <c r="T163" t="s">
        <v>1676</v>
      </c>
      <c r="U163" t="s">
        <v>32</v>
      </c>
      <c r="V163" t="s">
        <v>32</v>
      </c>
      <c r="W163" t="s">
        <v>32</v>
      </c>
    </row>
    <row r="164" spans="1:23" x14ac:dyDescent="0.2">
      <c r="A164" t="s">
        <v>1677</v>
      </c>
      <c r="B164" t="s">
        <v>1677</v>
      </c>
      <c r="C164">
        <v>23</v>
      </c>
      <c r="D164">
        <v>23</v>
      </c>
      <c r="E164" t="s">
        <v>1678</v>
      </c>
      <c r="F164" t="s">
        <v>1679</v>
      </c>
      <c r="G164" t="s">
        <v>1678</v>
      </c>
      <c r="H164" t="s">
        <v>1679</v>
      </c>
      <c r="I164" t="s">
        <v>1680</v>
      </c>
      <c r="J164" t="s">
        <v>1681</v>
      </c>
      <c r="K164" t="s">
        <v>1682</v>
      </c>
      <c r="L164" t="s">
        <v>1682</v>
      </c>
      <c r="M164">
        <v>412</v>
      </c>
      <c r="N164">
        <v>28</v>
      </c>
      <c r="O164">
        <v>5</v>
      </c>
      <c r="P164" t="s">
        <v>1683</v>
      </c>
      <c r="Q164" t="s">
        <v>1684</v>
      </c>
      <c r="R164" t="s">
        <v>154</v>
      </c>
      <c r="S164">
        <v>149</v>
      </c>
      <c r="T164" t="s">
        <v>154</v>
      </c>
      <c r="U164" t="s">
        <v>1685</v>
      </c>
      <c r="V164" t="s">
        <v>32</v>
      </c>
      <c r="W164" t="s">
        <v>32</v>
      </c>
    </row>
    <row r="165" spans="1:23" x14ac:dyDescent="0.2">
      <c r="A165" t="s">
        <v>1686</v>
      </c>
      <c r="B165" t="s">
        <v>1687</v>
      </c>
      <c r="C165">
        <v>51</v>
      </c>
      <c r="D165">
        <v>51</v>
      </c>
      <c r="E165" t="s">
        <v>1688</v>
      </c>
      <c r="F165" t="s">
        <v>1689</v>
      </c>
      <c r="G165" t="s">
        <v>1688</v>
      </c>
      <c r="H165" t="s">
        <v>1689</v>
      </c>
      <c r="I165" t="s">
        <v>1690</v>
      </c>
      <c r="J165" t="s">
        <v>1691</v>
      </c>
      <c r="K165" t="s">
        <v>1692</v>
      </c>
      <c r="L165" t="s">
        <v>1692</v>
      </c>
      <c r="M165">
        <v>501</v>
      </c>
      <c r="N165">
        <v>0</v>
      </c>
      <c r="O165">
        <v>0</v>
      </c>
      <c r="P165" t="s">
        <v>1693</v>
      </c>
      <c r="Q165" t="s">
        <v>30</v>
      </c>
      <c r="R165" t="s">
        <v>1694</v>
      </c>
      <c r="S165">
        <v>172</v>
      </c>
      <c r="T165" t="s">
        <v>1695</v>
      </c>
      <c r="U165" t="s">
        <v>32</v>
      </c>
      <c r="V165" t="s">
        <v>32</v>
      </c>
      <c r="W165" t="s">
        <v>32</v>
      </c>
    </row>
    <row r="166" spans="1:23" x14ac:dyDescent="0.2">
      <c r="A166" t="s">
        <v>1696</v>
      </c>
      <c r="B166" t="s">
        <v>1697</v>
      </c>
      <c r="C166">
        <v>51</v>
      </c>
      <c r="D166">
        <v>51</v>
      </c>
      <c r="E166" t="s">
        <v>1698</v>
      </c>
      <c r="F166" t="s">
        <v>1699</v>
      </c>
      <c r="G166" t="s">
        <v>1698</v>
      </c>
      <c r="H166" t="s">
        <v>1699</v>
      </c>
      <c r="I166" t="s">
        <v>1700</v>
      </c>
      <c r="J166" t="s">
        <v>1701</v>
      </c>
      <c r="K166" t="s">
        <v>961</v>
      </c>
      <c r="L166" t="s">
        <v>961</v>
      </c>
      <c r="M166">
        <v>0</v>
      </c>
      <c r="N166">
        <v>0</v>
      </c>
      <c r="O166">
        <v>0</v>
      </c>
      <c r="P166" t="s">
        <v>1702</v>
      </c>
      <c r="Q166" t="s">
        <v>30</v>
      </c>
      <c r="R166" t="s">
        <v>30</v>
      </c>
      <c r="S166">
        <v>175</v>
      </c>
      <c r="T166" t="s">
        <v>1694</v>
      </c>
      <c r="U166" t="s">
        <v>32</v>
      </c>
      <c r="V166" t="s">
        <v>32</v>
      </c>
      <c r="W166" t="s">
        <v>32</v>
      </c>
    </row>
    <row r="167" spans="1:23" x14ac:dyDescent="0.2">
      <c r="A167" t="s">
        <v>1703</v>
      </c>
      <c r="B167" t="s">
        <v>1703</v>
      </c>
      <c r="C167">
        <v>1863</v>
      </c>
      <c r="D167">
        <v>51</v>
      </c>
      <c r="E167" t="s">
        <v>1704</v>
      </c>
      <c r="F167" t="s">
        <v>1705</v>
      </c>
      <c r="G167" t="s">
        <v>1706</v>
      </c>
      <c r="H167" t="s">
        <v>1707</v>
      </c>
      <c r="I167" t="s">
        <v>32</v>
      </c>
      <c r="J167" t="s">
        <v>1708</v>
      </c>
      <c r="K167" t="s">
        <v>200</v>
      </c>
      <c r="L167" t="s">
        <v>804</v>
      </c>
      <c r="M167">
        <v>0</v>
      </c>
      <c r="N167">
        <v>0</v>
      </c>
      <c r="O167">
        <v>0</v>
      </c>
      <c r="P167" t="s">
        <v>1709</v>
      </c>
      <c r="Q167" t="s">
        <v>30</v>
      </c>
      <c r="R167" t="s">
        <v>30</v>
      </c>
      <c r="S167">
        <v>0</v>
      </c>
      <c r="T167" t="s">
        <v>30</v>
      </c>
      <c r="U167" t="s">
        <v>32</v>
      </c>
      <c r="V167" t="s">
        <v>32</v>
      </c>
      <c r="W167" t="s">
        <v>32</v>
      </c>
    </row>
    <row r="168" spans="1:23" x14ac:dyDescent="0.2">
      <c r="A168" t="s">
        <v>1710</v>
      </c>
      <c r="B168" t="s">
        <v>1710</v>
      </c>
      <c r="C168">
        <v>12730</v>
      </c>
      <c r="D168">
        <v>2974</v>
      </c>
      <c r="E168" t="s">
        <v>1711</v>
      </c>
      <c r="F168" t="s">
        <v>1712</v>
      </c>
      <c r="G168" t="s">
        <v>1713</v>
      </c>
      <c r="H168" t="s">
        <v>1714</v>
      </c>
      <c r="I168" t="s">
        <v>1715</v>
      </c>
      <c r="J168" t="s">
        <v>1716</v>
      </c>
      <c r="K168" t="s">
        <v>537</v>
      </c>
      <c r="L168" t="s">
        <v>696</v>
      </c>
      <c r="M168">
        <v>0</v>
      </c>
      <c r="N168">
        <v>0</v>
      </c>
      <c r="O168">
        <v>0</v>
      </c>
      <c r="P168" t="s">
        <v>1717</v>
      </c>
      <c r="Q168" t="s">
        <v>30</v>
      </c>
      <c r="R168" t="s">
        <v>30</v>
      </c>
      <c r="S168">
        <v>0</v>
      </c>
      <c r="T168" t="s">
        <v>30</v>
      </c>
      <c r="U168" t="s">
        <v>32</v>
      </c>
      <c r="V168" t="s">
        <v>32</v>
      </c>
      <c r="W168" t="s">
        <v>32</v>
      </c>
    </row>
    <row r="169" spans="1:23" x14ac:dyDescent="0.2">
      <c r="A169" t="s">
        <v>1718</v>
      </c>
      <c r="B169" t="s">
        <v>1718</v>
      </c>
      <c r="C169">
        <v>32</v>
      </c>
      <c r="D169">
        <v>32</v>
      </c>
      <c r="E169" t="s">
        <v>1719</v>
      </c>
      <c r="F169" t="s">
        <v>1720</v>
      </c>
      <c r="G169" t="s">
        <v>1719</v>
      </c>
      <c r="H169" t="s">
        <v>1720</v>
      </c>
      <c r="I169" t="s">
        <v>1721</v>
      </c>
      <c r="J169" t="s">
        <v>1722</v>
      </c>
      <c r="K169" t="s">
        <v>1723</v>
      </c>
      <c r="L169" t="s">
        <v>1723</v>
      </c>
      <c r="M169">
        <v>0</v>
      </c>
      <c r="N169">
        <v>0</v>
      </c>
      <c r="O169">
        <v>0</v>
      </c>
      <c r="P169" t="s">
        <v>1724</v>
      </c>
      <c r="Q169" t="s">
        <v>30</v>
      </c>
      <c r="R169" t="s">
        <v>30</v>
      </c>
      <c r="S169">
        <v>113</v>
      </c>
      <c r="T169" t="s">
        <v>154</v>
      </c>
      <c r="U169" t="s">
        <v>32</v>
      </c>
      <c r="V169" t="s">
        <v>32</v>
      </c>
      <c r="W169" t="s">
        <v>32</v>
      </c>
    </row>
    <row r="170" spans="1:23" x14ac:dyDescent="0.2">
      <c r="A170" t="s">
        <v>1725</v>
      </c>
      <c r="B170" t="s">
        <v>1725</v>
      </c>
      <c r="C170">
        <v>88</v>
      </c>
      <c r="D170">
        <v>35</v>
      </c>
      <c r="E170" t="s">
        <v>1726</v>
      </c>
      <c r="F170" t="s">
        <v>1727</v>
      </c>
      <c r="G170" t="s">
        <v>1728</v>
      </c>
      <c r="H170" t="s">
        <v>1729</v>
      </c>
      <c r="I170" t="s">
        <v>1730</v>
      </c>
      <c r="J170" t="s">
        <v>1731</v>
      </c>
      <c r="K170" t="s">
        <v>491</v>
      </c>
      <c r="L170" t="s">
        <v>1732</v>
      </c>
      <c r="M170">
        <v>0</v>
      </c>
      <c r="N170">
        <v>0</v>
      </c>
      <c r="O170">
        <v>0</v>
      </c>
      <c r="P170" t="s">
        <v>1733</v>
      </c>
      <c r="Q170" t="s">
        <v>30</v>
      </c>
      <c r="R170" t="s">
        <v>30</v>
      </c>
      <c r="S170">
        <v>160</v>
      </c>
      <c r="T170" t="s">
        <v>1734</v>
      </c>
      <c r="U170" t="s">
        <v>32</v>
      </c>
      <c r="V170" t="s">
        <v>32</v>
      </c>
      <c r="W170" t="s">
        <v>32</v>
      </c>
    </row>
    <row r="171" spans="1:23" x14ac:dyDescent="0.2">
      <c r="A171" t="s">
        <v>1735</v>
      </c>
      <c r="B171" t="s">
        <v>1735</v>
      </c>
      <c r="C171">
        <v>1885</v>
      </c>
      <c r="D171">
        <v>51</v>
      </c>
      <c r="E171" t="s">
        <v>1736</v>
      </c>
      <c r="F171" t="s">
        <v>1737</v>
      </c>
      <c r="G171" t="s">
        <v>1738</v>
      </c>
      <c r="H171" t="s">
        <v>1739</v>
      </c>
      <c r="I171" t="s">
        <v>32</v>
      </c>
      <c r="J171" t="s">
        <v>32</v>
      </c>
      <c r="K171" t="s">
        <v>30</v>
      </c>
      <c r="L171" t="s">
        <v>30</v>
      </c>
      <c r="M171">
        <v>0</v>
      </c>
      <c r="N171">
        <v>0</v>
      </c>
      <c r="O171">
        <v>0</v>
      </c>
      <c r="P171" t="s">
        <v>1740</v>
      </c>
      <c r="Q171" t="s">
        <v>30</v>
      </c>
      <c r="R171" t="s">
        <v>30</v>
      </c>
      <c r="S171">
        <v>0</v>
      </c>
      <c r="T171" t="s">
        <v>30</v>
      </c>
      <c r="U171" t="s">
        <v>84</v>
      </c>
      <c r="V171" t="s">
        <v>32</v>
      </c>
      <c r="W171" t="s">
        <v>32</v>
      </c>
    </row>
    <row r="172" spans="1:23" x14ac:dyDescent="0.2">
      <c r="A172" t="s">
        <v>1741</v>
      </c>
      <c r="B172" t="s">
        <v>1741</v>
      </c>
      <c r="C172">
        <v>151</v>
      </c>
      <c r="D172">
        <v>84</v>
      </c>
      <c r="E172" t="s">
        <v>1742</v>
      </c>
      <c r="F172" t="s">
        <v>1743</v>
      </c>
      <c r="G172" t="s">
        <v>1744</v>
      </c>
      <c r="H172" t="s">
        <v>1745</v>
      </c>
      <c r="I172" t="s">
        <v>1746</v>
      </c>
      <c r="J172" t="s">
        <v>1747</v>
      </c>
      <c r="K172" t="s">
        <v>1748</v>
      </c>
      <c r="L172" t="s">
        <v>1749</v>
      </c>
      <c r="M172">
        <v>0</v>
      </c>
      <c r="N172">
        <v>0</v>
      </c>
      <c r="O172">
        <v>0</v>
      </c>
      <c r="P172" t="s">
        <v>1750</v>
      </c>
      <c r="Q172" t="s">
        <v>30</v>
      </c>
      <c r="R172" t="s">
        <v>30</v>
      </c>
      <c r="S172">
        <v>421</v>
      </c>
      <c r="T172" t="s">
        <v>1751</v>
      </c>
      <c r="U172" t="s">
        <v>32</v>
      </c>
      <c r="V172" t="s">
        <v>32</v>
      </c>
      <c r="W172" t="s">
        <v>32</v>
      </c>
    </row>
    <row r="173" spans="1:23" x14ac:dyDescent="0.2">
      <c r="A173" t="s">
        <v>1752</v>
      </c>
      <c r="B173" t="s">
        <v>1753</v>
      </c>
      <c r="C173">
        <v>37</v>
      </c>
      <c r="D173">
        <v>3</v>
      </c>
      <c r="E173" t="s">
        <v>1754</v>
      </c>
      <c r="F173" t="s">
        <v>1755</v>
      </c>
      <c r="G173" t="s">
        <v>1756</v>
      </c>
      <c r="H173" t="s">
        <v>1757</v>
      </c>
      <c r="I173" t="s">
        <v>1757</v>
      </c>
      <c r="J173" t="s">
        <v>1758</v>
      </c>
      <c r="K173" t="s">
        <v>1759</v>
      </c>
      <c r="L173" t="s">
        <v>1760</v>
      </c>
      <c r="M173">
        <v>0</v>
      </c>
      <c r="N173">
        <v>0</v>
      </c>
      <c r="O173">
        <v>0</v>
      </c>
      <c r="P173" t="s">
        <v>1761</v>
      </c>
      <c r="Q173" t="s">
        <v>30</v>
      </c>
      <c r="R173" t="s">
        <v>30</v>
      </c>
      <c r="S173">
        <v>0</v>
      </c>
      <c r="T173" t="s">
        <v>30</v>
      </c>
      <c r="U173" t="s">
        <v>32</v>
      </c>
      <c r="V173" t="s">
        <v>32</v>
      </c>
      <c r="W173" t="s">
        <v>32</v>
      </c>
    </row>
    <row r="174" spans="1:23" x14ac:dyDescent="0.2">
      <c r="A174" t="s">
        <v>1762</v>
      </c>
      <c r="B174" t="s">
        <v>1763</v>
      </c>
      <c r="C174">
        <v>1354</v>
      </c>
      <c r="D174">
        <v>64</v>
      </c>
      <c r="E174" t="s">
        <v>1764</v>
      </c>
      <c r="F174" t="s">
        <v>1765</v>
      </c>
      <c r="G174" t="s">
        <v>1766</v>
      </c>
      <c r="H174" t="s">
        <v>1767</v>
      </c>
      <c r="I174" t="s">
        <v>32</v>
      </c>
      <c r="J174" t="s">
        <v>1768</v>
      </c>
      <c r="K174" t="s">
        <v>630</v>
      </c>
      <c r="L174" t="s">
        <v>1769</v>
      </c>
      <c r="M174">
        <v>0</v>
      </c>
      <c r="N174">
        <v>0</v>
      </c>
      <c r="O174">
        <v>0</v>
      </c>
      <c r="P174" t="s">
        <v>1631</v>
      </c>
      <c r="Q174" t="s">
        <v>30</v>
      </c>
      <c r="R174" t="s">
        <v>30</v>
      </c>
      <c r="S174">
        <v>0</v>
      </c>
      <c r="T174" t="s">
        <v>30</v>
      </c>
      <c r="U174" t="s">
        <v>32</v>
      </c>
      <c r="V174" t="s">
        <v>32</v>
      </c>
      <c r="W174" t="s">
        <v>32</v>
      </c>
    </row>
    <row r="175" spans="1:23" x14ac:dyDescent="0.2">
      <c r="A175" t="s">
        <v>1770</v>
      </c>
      <c r="B175" t="s">
        <v>1771</v>
      </c>
      <c r="C175">
        <v>1372</v>
      </c>
      <c r="D175">
        <v>63</v>
      </c>
      <c r="E175" t="s">
        <v>1772</v>
      </c>
      <c r="F175" t="s">
        <v>1773</v>
      </c>
      <c r="G175" t="s">
        <v>1774</v>
      </c>
      <c r="H175" t="s">
        <v>406</v>
      </c>
      <c r="I175" t="s">
        <v>445</v>
      </c>
      <c r="J175" t="s">
        <v>1775</v>
      </c>
      <c r="K175" t="s">
        <v>162</v>
      </c>
      <c r="L175" t="s">
        <v>1776</v>
      </c>
      <c r="M175">
        <v>432</v>
      </c>
      <c r="N175">
        <v>25</v>
      </c>
      <c r="O175">
        <v>2.98</v>
      </c>
      <c r="P175" t="s">
        <v>1777</v>
      </c>
      <c r="Q175" t="s">
        <v>1778</v>
      </c>
      <c r="R175" t="s">
        <v>1779</v>
      </c>
      <c r="S175">
        <v>0</v>
      </c>
      <c r="T175" t="s">
        <v>30</v>
      </c>
      <c r="U175" t="s">
        <v>32</v>
      </c>
      <c r="V175" t="s">
        <v>32</v>
      </c>
      <c r="W175" t="s">
        <v>32</v>
      </c>
    </row>
    <row r="176" spans="1:23" x14ac:dyDescent="0.2">
      <c r="A176" t="s">
        <v>1780</v>
      </c>
      <c r="B176" t="s">
        <v>1781</v>
      </c>
      <c r="C176">
        <v>106</v>
      </c>
      <c r="D176">
        <v>41</v>
      </c>
      <c r="E176" t="s">
        <v>1782</v>
      </c>
      <c r="F176" t="s">
        <v>1783</v>
      </c>
      <c r="G176" t="s">
        <v>1784</v>
      </c>
      <c r="H176" t="s">
        <v>1785</v>
      </c>
      <c r="I176" t="s">
        <v>1786</v>
      </c>
      <c r="J176" t="s">
        <v>1787</v>
      </c>
      <c r="K176" t="s">
        <v>1788</v>
      </c>
      <c r="L176" t="s">
        <v>1789</v>
      </c>
      <c r="M176">
        <v>430</v>
      </c>
      <c r="N176">
        <v>65</v>
      </c>
      <c r="O176">
        <v>5.73</v>
      </c>
      <c r="P176" t="s">
        <v>1790</v>
      </c>
      <c r="Q176" t="s">
        <v>1791</v>
      </c>
      <c r="R176" t="s">
        <v>1792</v>
      </c>
      <c r="S176">
        <v>516</v>
      </c>
      <c r="T176" t="s">
        <v>1793</v>
      </c>
      <c r="U176" t="s">
        <v>32</v>
      </c>
      <c r="V176" t="s">
        <v>32</v>
      </c>
      <c r="W176" t="s">
        <v>32</v>
      </c>
    </row>
    <row r="177" spans="1:23" x14ac:dyDescent="0.2">
      <c r="A177" t="s">
        <v>1794</v>
      </c>
      <c r="B177" t="s">
        <v>1794</v>
      </c>
      <c r="C177">
        <v>661</v>
      </c>
      <c r="D177">
        <v>29</v>
      </c>
      <c r="E177" t="s">
        <v>1795</v>
      </c>
      <c r="F177" t="s">
        <v>1796</v>
      </c>
      <c r="G177" t="s">
        <v>1797</v>
      </c>
      <c r="H177" t="s">
        <v>1798</v>
      </c>
      <c r="I177" t="s">
        <v>32</v>
      </c>
      <c r="J177" t="s">
        <v>1799</v>
      </c>
      <c r="K177" t="s">
        <v>1800</v>
      </c>
      <c r="L177" t="s">
        <v>1801</v>
      </c>
      <c r="M177">
        <v>0</v>
      </c>
      <c r="N177">
        <v>0</v>
      </c>
      <c r="O177">
        <v>0</v>
      </c>
      <c r="P177" t="s">
        <v>1802</v>
      </c>
      <c r="Q177" t="s">
        <v>30</v>
      </c>
      <c r="R177" t="s">
        <v>30</v>
      </c>
      <c r="S177">
        <v>0</v>
      </c>
      <c r="T177" t="s">
        <v>30</v>
      </c>
      <c r="U177" t="s">
        <v>32</v>
      </c>
      <c r="V177" t="s">
        <v>32</v>
      </c>
      <c r="W177" t="s">
        <v>32</v>
      </c>
    </row>
    <row r="178" spans="1:23" x14ac:dyDescent="0.2">
      <c r="A178" t="s">
        <v>1803</v>
      </c>
      <c r="B178" t="s">
        <v>1804</v>
      </c>
      <c r="C178">
        <v>60</v>
      </c>
      <c r="D178">
        <v>39</v>
      </c>
      <c r="E178" t="s">
        <v>1805</v>
      </c>
      <c r="F178" t="s">
        <v>1806</v>
      </c>
      <c r="G178" t="s">
        <v>1807</v>
      </c>
      <c r="H178" t="s">
        <v>1808</v>
      </c>
      <c r="I178" t="s">
        <v>994</v>
      </c>
      <c r="J178" t="s">
        <v>1809</v>
      </c>
      <c r="K178" t="s">
        <v>1810</v>
      </c>
      <c r="L178" t="s">
        <v>1811</v>
      </c>
      <c r="M178">
        <v>421</v>
      </c>
      <c r="N178">
        <v>14</v>
      </c>
      <c r="O178">
        <v>0.93</v>
      </c>
      <c r="P178" t="s">
        <v>618</v>
      </c>
      <c r="Q178" t="s">
        <v>1812</v>
      </c>
      <c r="R178" t="s">
        <v>1813</v>
      </c>
      <c r="S178">
        <v>104</v>
      </c>
      <c r="T178" t="s">
        <v>1813</v>
      </c>
      <c r="U178" t="s">
        <v>84</v>
      </c>
      <c r="V178" t="s">
        <v>32</v>
      </c>
      <c r="W178" t="s">
        <v>32</v>
      </c>
    </row>
    <row r="179" spans="1:23" x14ac:dyDescent="0.2">
      <c r="A179" t="s">
        <v>1814</v>
      </c>
      <c r="B179" t="s">
        <v>1814</v>
      </c>
      <c r="C179">
        <v>102</v>
      </c>
      <c r="D179">
        <v>12</v>
      </c>
      <c r="E179" t="s">
        <v>1815</v>
      </c>
      <c r="F179" t="s">
        <v>1816</v>
      </c>
      <c r="G179" t="s">
        <v>1817</v>
      </c>
      <c r="H179" t="s">
        <v>1818</v>
      </c>
      <c r="I179" t="s">
        <v>742</v>
      </c>
      <c r="J179" t="s">
        <v>1819</v>
      </c>
      <c r="K179" t="s">
        <v>1820</v>
      </c>
      <c r="L179" t="s">
        <v>1821</v>
      </c>
      <c r="M179">
        <v>0</v>
      </c>
      <c r="N179">
        <v>0</v>
      </c>
      <c r="O179">
        <v>0</v>
      </c>
      <c r="P179" t="s">
        <v>1822</v>
      </c>
      <c r="Q179" t="s">
        <v>30</v>
      </c>
      <c r="R179" t="s">
        <v>30</v>
      </c>
      <c r="S179">
        <v>69</v>
      </c>
      <c r="T179" t="s">
        <v>1823</v>
      </c>
      <c r="U179" t="s">
        <v>32</v>
      </c>
      <c r="V179" t="s">
        <v>32</v>
      </c>
      <c r="W179" t="s">
        <v>32</v>
      </c>
    </row>
    <row r="180" spans="1:23" x14ac:dyDescent="0.2">
      <c r="A180" t="s">
        <v>1824</v>
      </c>
      <c r="B180" t="s">
        <v>1825</v>
      </c>
      <c r="C180">
        <v>31</v>
      </c>
      <c r="D180">
        <v>31</v>
      </c>
      <c r="E180" t="s">
        <v>1826</v>
      </c>
      <c r="F180" t="s">
        <v>1827</v>
      </c>
      <c r="G180" t="s">
        <v>1826</v>
      </c>
      <c r="H180" t="s">
        <v>1827</v>
      </c>
      <c r="I180" t="s">
        <v>857</v>
      </c>
      <c r="J180" t="s">
        <v>1828</v>
      </c>
      <c r="K180" t="s">
        <v>1829</v>
      </c>
      <c r="L180" t="s">
        <v>1829</v>
      </c>
      <c r="M180">
        <v>450</v>
      </c>
      <c r="N180">
        <v>45</v>
      </c>
      <c r="O180">
        <v>4.67</v>
      </c>
      <c r="P180" t="s">
        <v>1830</v>
      </c>
      <c r="Q180" t="s">
        <v>1831</v>
      </c>
      <c r="R180" t="s">
        <v>1832</v>
      </c>
      <c r="S180">
        <v>144</v>
      </c>
      <c r="T180" t="s">
        <v>154</v>
      </c>
      <c r="U180" t="s">
        <v>32</v>
      </c>
      <c r="V180" t="s">
        <v>32</v>
      </c>
      <c r="W180" t="s">
        <v>32</v>
      </c>
    </row>
    <row r="181" spans="1:23" x14ac:dyDescent="0.2">
      <c r="A181" t="s">
        <v>1833</v>
      </c>
      <c r="B181" t="s">
        <v>1833</v>
      </c>
      <c r="C181">
        <v>1867</v>
      </c>
      <c r="D181">
        <v>51</v>
      </c>
      <c r="E181" t="s">
        <v>1834</v>
      </c>
      <c r="F181" t="s">
        <v>1835</v>
      </c>
      <c r="G181" t="s">
        <v>1836</v>
      </c>
      <c r="H181" t="s">
        <v>1837</v>
      </c>
      <c r="I181" t="s">
        <v>32</v>
      </c>
      <c r="J181" t="s">
        <v>229</v>
      </c>
      <c r="K181" t="s">
        <v>200</v>
      </c>
      <c r="L181" t="s">
        <v>1553</v>
      </c>
      <c r="M181">
        <v>0</v>
      </c>
      <c r="N181">
        <v>0</v>
      </c>
      <c r="O181">
        <v>0</v>
      </c>
      <c r="P181" t="s">
        <v>1838</v>
      </c>
      <c r="Q181" t="s">
        <v>30</v>
      </c>
      <c r="R181" t="s">
        <v>30</v>
      </c>
      <c r="S181">
        <v>0</v>
      </c>
      <c r="T181" t="s">
        <v>30</v>
      </c>
      <c r="U181" t="s">
        <v>32</v>
      </c>
      <c r="V181" t="s">
        <v>32</v>
      </c>
      <c r="W181" t="s">
        <v>32</v>
      </c>
    </row>
    <row r="182" spans="1:23" x14ac:dyDescent="0.2">
      <c r="A182" t="s">
        <v>1839</v>
      </c>
      <c r="B182" t="s">
        <v>1839</v>
      </c>
      <c r="C182">
        <v>67</v>
      </c>
      <c r="D182">
        <v>39</v>
      </c>
      <c r="E182" t="s">
        <v>1840</v>
      </c>
      <c r="F182" t="s">
        <v>1841</v>
      </c>
      <c r="G182" t="s">
        <v>1842</v>
      </c>
      <c r="H182" t="s">
        <v>1843</v>
      </c>
      <c r="I182" t="s">
        <v>865</v>
      </c>
      <c r="J182" t="s">
        <v>1844</v>
      </c>
      <c r="K182" t="s">
        <v>1845</v>
      </c>
      <c r="L182" t="s">
        <v>1846</v>
      </c>
      <c r="M182">
        <v>0</v>
      </c>
      <c r="N182">
        <v>0</v>
      </c>
      <c r="O182">
        <v>0</v>
      </c>
      <c r="P182" t="s">
        <v>1847</v>
      </c>
      <c r="Q182" t="s">
        <v>30</v>
      </c>
      <c r="R182" t="s">
        <v>30</v>
      </c>
      <c r="S182">
        <v>112</v>
      </c>
      <c r="T182" t="s">
        <v>1848</v>
      </c>
      <c r="U182" t="s">
        <v>32</v>
      </c>
      <c r="V182" t="s">
        <v>32</v>
      </c>
      <c r="W182" t="s">
        <v>32</v>
      </c>
    </row>
    <row r="183" spans="1:23" x14ac:dyDescent="0.2">
      <c r="A183" t="s">
        <v>1849</v>
      </c>
      <c r="B183" t="s">
        <v>1849</v>
      </c>
      <c r="C183">
        <v>195</v>
      </c>
      <c r="D183">
        <v>48</v>
      </c>
      <c r="E183" t="s">
        <v>1850</v>
      </c>
      <c r="F183" t="s">
        <v>1851</v>
      </c>
      <c r="G183" t="s">
        <v>1852</v>
      </c>
      <c r="H183" t="s">
        <v>1853</v>
      </c>
      <c r="I183" t="s">
        <v>557</v>
      </c>
      <c r="J183" t="s">
        <v>1854</v>
      </c>
      <c r="K183" t="s">
        <v>1855</v>
      </c>
      <c r="L183" t="s">
        <v>1856</v>
      </c>
      <c r="M183">
        <v>1015</v>
      </c>
      <c r="N183">
        <v>340</v>
      </c>
      <c r="O183">
        <v>84.2</v>
      </c>
      <c r="P183" t="s">
        <v>1414</v>
      </c>
      <c r="Q183" t="s">
        <v>375</v>
      </c>
      <c r="R183" t="s">
        <v>1857</v>
      </c>
      <c r="S183">
        <v>244</v>
      </c>
      <c r="T183" t="s">
        <v>1858</v>
      </c>
      <c r="U183" t="s">
        <v>32</v>
      </c>
      <c r="V183" t="s">
        <v>32</v>
      </c>
      <c r="W183" t="s">
        <v>32</v>
      </c>
    </row>
    <row r="184" spans="1:23" x14ac:dyDescent="0.2">
      <c r="A184" t="s">
        <v>1859</v>
      </c>
      <c r="B184" t="s">
        <v>1860</v>
      </c>
      <c r="C184">
        <v>138</v>
      </c>
      <c r="D184">
        <v>80</v>
      </c>
      <c r="E184" t="s">
        <v>1861</v>
      </c>
      <c r="F184" t="s">
        <v>1862</v>
      </c>
      <c r="G184" t="s">
        <v>1863</v>
      </c>
      <c r="H184" t="s">
        <v>1864</v>
      </c>
      <c r="I184" t="s">
        <v>1865</v>
      </c>
      <c r="J184" t="s">
        <v>1866</v>
      </c>
      <c r="K184" t="s">
        <v>1867</v>
      </c>
      <c r="L184" t="s">
        <v>1868</v>
      </c>
      <c r="M184">
        <v>1041</v>
      </c>
      <c r="N184">
        <v>61</v>
      </c>
      <c r="O184">
        <v>11.82</v>
      </c>
      <c r="P184" t="s">
        <v>1869</v>
      </c>
      <c r="Q184" t="s">
        <v>1870</v>
      </c>
      <c r="R184" t="s">
        <v>1871</v>
      </c>
      <c r="S184">
        <v>753</v>
      </c>
      <c r="T184" t="s">
        <v>1872</v>
      </c>
      <c r="U184" t="s">
        <v>32</v>
      </c>
      <c r="V184" t="s">
        <v>32</v>
      </c>
      <c r="W184" t="s">
        <v>32</v>
      </c>
    </row>
    <row r="185" spans="1:23" x14ac:dyDescent="0.2">
      <c r="A185" t="s">
        <v>1873</v>
      </c>
      <c r="B185" t="s">
        <v>1874</v>
      </c>
      <c r="C185">
        <v>2233</v>
      </c>
      <c r="D185">
        <v>65</v>
      </c>
      <c r="E185" t="s">
        <v>1875</v>
      </c>
      <c r="F185" t="s">
        <v>1876</v>
      </c>
      <c r="G185" t="s">
        <v>1877</v>
      </c>
      <c r="H185" t="s">
        <v>1878</v>
      </c>
      <c r="I185" t="s">
        <v>1879</v>
      </c>
      <c r="J185" t="s">
        <v>1880</v>
      </c>
      <c r="K185" t="s">
        <v>200</v>
      </c>
      <c r="L185" t="s">
        <v>1656</v>
      </c>
      <c r="M185">
        <v>0</v>
      </c>
      <c r="N185">
        <v>0</v>
      </c>
      <c r="O185">
        <v>0</v>
      </c>
      <c r="P185" t="s">
        <v>1881</v>
      </c>
      <c r="Q185" t="s">
        <v>30</v>
      </c>
      <c r="R185" t="s">
        <v>30</v>
      </c>
      <c r="S185">
        <v>0</v>
      </c>
      <c r="T185" t="s">
        <v>30</v>
      </c>
      <c r="U185" t="s">
        <v>32</v>
      </c>
      <c r="V185" t="s">
        <v>32</v>
      </c>
      <c r="W185" t="s">
        <v>32</v>
      </c>
    </row>
    <row r="186" spans="1:23" x14ac:dyDescent="0.2">
      <c r="A186" t="s">
        <v>1882</v>
      </c>
      <c r="B186" t="s">
        <v>1882</v>
      </c>
      <c r="C186">
        <v>105</v>
      </c>
      <c r="D186">
        <v>17</v>
      </c>
      <c r="E186" t="s">
        <v>1883</v>
      </c>
      <c r="F186" t="s">
        <v>1884</v>
      </c>
      <c r="G186" t="s">
        <v>1885</v>
      </c>
      <c r="H186" t="s">
        <v>1886</v>
      </c>
      <c r="I186" t="s">
        <v>1887</v>
      </c>
      <c r="J186" t="s">
        <v>1888</v>
      </c>
      <c r="K186" t="s">
        <v>1889</v>
      </c>
      <c r="L186" t="s">
        <v>1890</v>
      </c>
      <c r="M186">
        <v>0</v>
      </c>
      <c r="N186">
        <v>0</v>
      </c>
      <c r="O186">
        <v>0</v>
      </c>
      <c r="P186" t="s">
        <v>1552</v>
      </c>
      <c r="Q186" t="s">
        <v>30</v>
      </c>
      <c r="R186" t="s">
        <v>30</v>
      </c>
      <c r="S186">
        <v>143</v>
      </c>
      <c r="T186" t="s">
        <v>1891</v>
      </c>
      <c r="U186" t="s">
        <v>32</v>
      </c>
      <c r="V186" t="s">
        <v>32</v>
      </c>
      <c r="W186" t="s">
        <v>32</v>
      </c>
    </row>
    <row r="187" spans="1:23" x14ac:dyDescent="0.2">
      <c r="A187" t="s">
        <v>1892</v>
      </c>
      <c r="B187" t="s">
        <v>1892</v>
      </c>
      <c r="C187">
        <v>23</v>
      </c>
      <c r="D187">
        <v>23</v>
      </c>
      <c r="E187" t="s">
        <v>1893</v>
      </c>
      <c r="F187" t="s">
        <v>1894</v>
      </c>
      <c r="G187" t="s">
        <v>1893</v>
      </c>
      <c r="H187" t="s">
        <v>1894</v>
      </c>
      <c r="I187" t="s">
        <v>1895</v>
      </c>
      <c r="J187" t="s">
        <v>1896</v>
      </c>
      <c r="K187" t="s">
        <v>1897</v>
      </c>
      <c r="L187" t="s">
        <v>1897</v>
      </c>
      <c r="M187">
        <v>0</v>
      </c>
      <c r="N187">
        <v>0</v>
      </c>
      <c r="O187">
        <v>0</v>
      </c>
      <c r="P187" t="s">
        <v>1338</v>
      </c>
      <c r="Q187" t="s">
        <v>30</v>
      </c>
      <c r="R187" t="s">
        <v>30</v>
      </c>
      <c r="S187">
        <v>165</v>
      </c>
      <c r="T187" t="s">
        <v>154</v>
      </c>
      <c r="U187" t="s">
        <v>32</v>
      </c>
      <c r="V187" t="s">
        <v>32</v>
      </c>
      <c r="W187" t="s">
        <v>32</v>
      </c>
    </row>
    <row r="188" spans="1:23" x14ac:dyDescent="0.2">
      <c r="A188" t="s">
        <v>1898</v>
      </c>
      <c r="B188" t="s">
        <v>1898</v>
      </c>
      <c r="C188">
        <v>118</v>
      </c>
      <c r="D188">
        <v>64</v>
      </c>
      <c r="E188" t="s">
        <v>1899</v>
      </c>
      <c r="F188" t="s">
        <v>1900</v>
      </c>
      <c r="G188" t="s">
        <v>1901</v>
      </c>
      <c r="H188" t="s">
        <v>1902</v>
      </c>
      <c r="I188" t="s">
        <v>1903</v>
      </c>
      <c r="J188" t="s">
        <v>1904</v>
      </c>
      <c r="K188" t="s">
        <v>1905</v>
      </c>
      <c r="L188" t="s">
        <v>1906</v>
      </c>
      <c r="M188">
        <v>0</v>
      </c>
      <c r="N188">
        <v>0</v>
      </c>
      <c r="O188">
        <v>0</v>
      </c>
      <c r="P188" t="s">
        <v>1907</v>
      </c>
      <c r="Q188" t="s">
        <v>30</v>
      </c>
      <c r="R188" t="s">
        <v>30</v>
      </c>
      <c r="S188">
        <v>430</v>
      </c>
      <c r="T188" t="s">
        <v>400</v>
      </c>
      <c r="U188" t="s">
        <v>32</v>
      </c>
      <c r="V188" t="s">
        <v>32</v>
      </c>
      <c r="W188" t="s">
        <v>32</v>
      </c>
    </row>
    <row r="189" spans="1:23" x14ac:dyDescent="0.2">
      <c r="A189" t="s">
        <v>1908</v>
      </c>
      <c r="B189" t="s">
        <v>1908</v>
      </c>
      <c r="C189">
        <v>2238</v>
      </c>
      <c r="D189">
        <v>64</v>
      </c>
      <c r="E189" t="s">
        <v>1909</v>
      </c>
      <c r="F189" t="s">
        <v>1910</v>
      </c>
      <c r="G189" t="s">
        <v>1911</v>
      </c>
      <c r="H189" t="s">
        <v>1912</v>
      </c>
      <c r="I189" t="s">
        <v>32</v>
      </c>
      <c r="J189" t="s">
        <v>1913</v>
      </c>
      <c r="K189" t="s">
        <v>1914</v>
      </c>
      <c r="L189" t="s">
        <v>1915</v>
      </c>
      <c r="M189">
        <v>0</v>
      </c>
      <c r="N189">
        <v>0</v>
      </c>
      <c r="O189">
        <v>0</v>
      </c>
      <c r="P189" t="s">
        <v>1916</v>
      </c>
      <c r="Q189" t="s">
        <v>30</v>
      </c>
      <c r="R189" t="s">
        <v>30</v>
      </c>
      <c r="S189">
        <v>0</v>
      </c>
      <c r="T189" t="s">
        <v>30</v>
      </c>
      <c r="U189" t="s">
        <v>32</v>
      </c>
      <c r="V189" t="s">
        <v>32</v>
      </c>
      <c r="W189" t="s">
        <v>32</v>
      </c>
    </row>
    <row r="190" spans="1:23" x14ac:dyDescent="0.2">
      <c r="A190" t="s">
        <v>1917</v>
      </c>
      <c r="B190" t="s">
        <v>1918</v>
      </c>
      <c r="C190">
        <v>190</v>
      </c>
      <c r="D190">
        <v>45</v>
      </c>
      <c r="E190" t="s">
        <v>1919</v>
      </c>
      <c r="F190" t="s">
        <v>1920</v>
      </c>
      <c r="G190" t="s">
        <v>1921</v>
      </c>
      <c r="H190" t="s">
        <v>1922</v>
      </c>
      <c r="I190" t="s">
        <v>480</v>
      </c>
      <c r="J190" t="s">
        <v>1923</v>
      </c>
      <c r="K190" t="s">
        <v>1924</v>
      </c>
      <c r="L190" t="s">
        <v>1925</v>
      </c>
      <c r="M190">
        <v>426</v>
      </c>
      <c r="N190">
        <v>25</v>
      </c>
      <c r="O190">
        <v>10.199999999999999</v>
      </c>
      <c r="P190" t="s">
        <v>1926</v>
      </c>
      <c r="Q190" t="s">
        <v>1927</v>
      </c>
      <c r="R190" t="s">
        <v>1928</v>
      </c>
      <c r="S190">
        <v>282</v>
      </c>
      <c r="T190" t="s">
        <v>1929</v>
      </c>
      <c r="U190" t="s">
        <v>32</v>
      </c>
      <c r="V190" t="s">
        <v>32</v>
      </c>
      <c r="W190" t="s">
        <v>32</v>
      </c>
    </row>
    <row r="191" spans="1:23" x14ac:dyDescent="0.2">
      <c r="A191" t="s">
        <v>1930</v>
      </c>
      <c r="B191" t="s">
        <v>1930</v>
      </c>
      <c r="C191">
        <v>180</v>
      </c>
      <c r="D191">
        <v>44</v>
      </c>
      <c r="E191" t="s">
        <v>1931</v>
      </c>
      <c r="F191" t="s">
        <v>1932</v>
      </c>
      <c r="G191" t="s">
        <v>1933</v>
      </c>
      <c r="H191" t="s">
        <v>1934</v>
      </c>
      <c r="I191" t="s">
        <v>1935</v>
      </c>
      <c r="J191" t="s">
        <v>1936</v>
      </c>
      <c r="K191" t="s">
        <v>1937</v>
      </c>
      <c r="L191" t="s">
        <v>1938</v>
      </c>
      <c r="M191">
        <v>0</v>
      </c>
      <c r="N191">
        <v>0</v>
      </c>
      <c r="O191">
        <v>0</v>
      </c>
      <c r="P191" t="s">
        <v>1939</v>
      </c>
      <c r="Q191" t="s">
        <v>30</v>
      </c>
      <c r="R191" t="s">
        <v>30</v>
      </c>
      <c r="S191">
        <v>156</v>
      </c>
      <c r="T191" t="s">
        <v>1940</v>
      </c>
      <c r="U191" t="s">
        <v>84</v>
      </c>
      <c r="V191" t="s">
        <v>32</v>
      </c>
      <c r="W191" t="s">
        <v>32</v>
      </c>
    </row>
    <row r="192" spans="1:23" x14ac:dyDescent="0.2">
      <c r="A192" t="s">
        <v>1941</v>
      </c>
      <c r="B192" t="s">
        <v>1942</v>
      </c>
      <c r="C192">
        <v>170</v>
      </c>
      <c r="D192">
        <v>19</v>
      </c>
      <c r="E192" t="s">
        <v>1943</v>
      </c>
      <c r="F192" t="s">
        <v>1944</v>
      </c>
      <c r="G192" t="s">
        <v>1945</v>
      </c>
      <c r="H192" t="s">
        <v>1946</v>
      </c>
      <c r="I192" t="s">
        <v>32</v>
      </c>
      <c r="J192" t="s">
        <v>1947</v>
      </c>
      <c r="K192" t="s">
        <v>1948</v>
      </c>
      <c r="L192" t="s">
        <v>1949</v>
      </c>
      <c r="M192">
        <v>220</v>
      </c>
      <c r="N192">
        <v>27</v>
      </c>
      <c r="O192">
        <v>4.2699999999999996</v>
      </c>
      <c r="P192" t="s">
        <v>484</v>
      </c>
      <c r="Q192" t="s">
        <v>1950</v>
      </c>
      <c r="R192" t="s">
        <v>1951</v>
      </c>
      <c r="S192">
        <v>225</v>
      </c>
      <c r="T192" t="s">
        <v>1952</v>
      </c>
      <c r="U192" t="s">
        <v>32</v>
      </c>
      <c r="V192" t="s">
        <v>32</v>
      </c>
      <c r="W192" t="s">
        <v>32</v>
      </c>
    </row>
    <row r="193" spans="1:23" x14ac:dyDescent="0.2">
      <c r="A193" t="s">
        <v>1953</v>
      </c>
      <c r="B193" t="s">
        <v>1953</v>
      </c>
      <c r="C193">
        <v>37</v>
      </c>
      <c r="D193">
        <v>37</v>
      </c>
      <c r="E193" t="s">
        <v>1954</v>
      </c>
      <c r="F193" t="s">
        <v>1955</v>
      </c>
      <c r="G193" t="s">
        <v>1954</v>
      </c>
      <c r="H193" t="s">
        <v>1955</v>
      </c>
      <c r="I193" t="s">
        <v>1956</v>
      </c>
      <c r="J193" t="s">
        <v>1957</v>
      </c>
      <c r="K193" t="s">
        <v>1958</v>
      </c>
      <c r="L193" t="s">
        <v>1958</v>
      </c>
      <c r="M193">
        <v>0</v>
      </c>
      <c r="N193">
        <v>0</v>
      </c>
      <c r="O193">
        <v>0</v>
      </c>
      <c r="P193" t="s">
        <v>1959</v>
      </c>
      <c r="Q193" t="s">
        <v>30</v>
      </c>
      <c r="R193" t="s">
        <v>30</v>
      </c>
      <c r="S193">
        <v>120</v>
      </c>
      <c r="T193" t="s">
        <v>1960</v>
      </c>
      <c r="U193" t="s">
        <v>32</v>
      </c>
      <c r="V193" t="s">
        <v>32</v>
      </c>
      <c r="W193" t="s">
        <v>32</v>
      </c>
    </row>
    <row r="194" spans="1:23" x14ac:dyDescent="0.2">
      <c r="A194" t="s">
        <v>1961</v>
      </c>
      <c r="B194" t="s">
        <v>1961</v>
      </c>
      <c r="C194">
        <v>42</v>
      </c>
      <c r="D194">
        <v>42</v>
      </c>
      <c r="E194" t="s">
        <v>1962</v>
      </c>
      <c r="F194" t="s">
        <v>1963</v>
      </c>
      <c r="G194" t="s">
        <v>1962</v>
      </c>
      <c r="H194" t="s">
        <v>1963</v>
      </c>
      <c r="I194" t="s">
        <v>1964</v>
      </c>
      <c r="J194" t="s">
        <v>1965</v>
      </c>
      <c r="K194" t="s">
        <v>1966</v>
      </c>
      <c r="L194" t="s">
        <v>1966</v>
      </c>
      <c r="M194">
        <v>0</v>
      </c>
      <c r="N194">
        <v>0</v>
      </c>
      <c r="O194">
        <v>0</v>
      </c>
      <c r="P194" t="s">
        <v>1967</v>
      </c>
      <c r="Q194" t="s">
        <v>30</v>
      </c>
      <c r="R194" t="s">
        <v>30</v>
      </c>
      <c r="S194">
        <v>240</v>
      </c>
      <c r="T194" t="s">
        <v>1059</v>
      </c>
      <c r="U194" t="s">
        <v>32</v>
      </c>
      <c r="V194" t="s">
        <v>32</v>
      </c>
      <c r="W194" t="s">
        <v>32</v>
      </c>
    </row>
    <row r="195" spans="1:23" x14ac:dyDescent="0.2">
      <c r="A195" t="s">
        <v>1968</v>
      </c>
      <c r="B195" t="s">
        <v>1969</v>
      </c>
      <c r="C195">
        <v>135</v>
      </c>
      <c r="D195">
        <v>80</v>
      </c>
      <c r="E195" t="s">
        <v>1970</v>
      </c>
      <c r="F195" t="s">
        <v>1971</v>
      </c>
      <c r="G195" t="s">
        <v>1972</v>
      </c>
      <c r="H195" t="s">
        <v>1973</v>
      </c>
      <c r="I195" t="s">
        <v>1974</v>
      </c>
      <c r="J195" t="s">
        <v>1975</v>
      </c>
      <c r="K195" t="s">
        <v>1976</v>
      </c>
      <c r="L195" t="s">
        <v>1977</v>
      </c>
      <c r="M195">
        <v>842</v>
      </c>
      <c r="N195">
        <v>51</v>
      </c>
      <c r="O195">
        <v>15.7</v>
      </c>
      <c r="P195" t="s">
        <v>1978</v>
      </c>
      <c r="Q195" t="s">
        <v>1979</v>
      </c>
      <c r="R195" t="s">
        <v>1980</v>
      </c>
      <c r="S195">
        <v>508</v>
      </c>
      <c r="T195" t="s">
        <v>621</v>
      </c>
      <c r="U195" t="s">
        <v>32</v>
      </c>
      <c r="V195" t="s">
        <v>32</v>
      </c>
      <c r="W195" t="s">
        <v>32</v>
      </c>
    </row>
    <row r="196" spans="1:23" x14ac:dyDescent="0.2">
      <c r="A196" t="s">
        <v>1981</v>
      </c>
      <c r="B196" t="s">
        <v>1981</v>
      </c>
      <c r="C196">
        <v>40</v>
      </c>
      <c r="D196">
        <v>40</v>
      </c>
      <c r="E196" t="s">
        <v>1982</v>
      </c>
      <c r="F196" t="s">
        <v>1983</v>
      </c>
      <c r="G196" t="s">
        <v>1982</v>
      </c>
      <c r="H196" t="s">
        <v>1983</v>
      </c>
      <c r="I196" t="s">
        <v>1984</v>
      </c>
      <c r="J196" t="s">
        <v>1985</v>
      </c>
      <c r="K196" t="s">
        <v>1986</v>
      </c>
      <c r="L196" t="s">
        <v>1986</v>
      </c>
      <c r="M196">
        <v>0</v>
      </c>
      <c r="N196">
        <v>0</v>
      </c>
      <c r="O196">
        <v>0</v>
      </c>
      <c r="P196" t="s">
        <v>1987</v>
      </c>
      <c r="Q196" t="s">
        <v>30</v>
      </c>
      <c r="R196" t="s">
        <v>30</v>
      </c>
      <c r="S196">
        <v>84</v>
      </c>
      <c r="T196" t="s">
        <v>1261</v>
      </c>
      <c r="U196" t="s">
        <v>32</v>
      </c>
      <c r="V196" t="s">
        <v>32</v>
      </c>
      <c r="W196" t="s">
        <v>32</v>
      </c>
    </row>
    <row r="197" spans="1:23" x14ac:dyDescent="0.2">
      <c r="A197" t="s">
        <v>1988</v>
      </c>
      <c r="B197" t="s">
        <v>1988</v>
      </c>
      <c r="C197">
        <v>19</v>
      </c>
      <c r="D197">
        <v>19</v>
      </c>
      <c r="E197" t="s">
        <v>1989</v>
      </c>
      <c r="F197" t="s">
        <v>1990</v>
      </c>
      <c r="G197" t="s">
        <v>1989</v>
      </c>
      <c r="H197" t="s">
        <v>1990</v>
      </c>
      <c r="I197" t="s">
        <v>1991</v>
      </c>
      <c r="J197" t="s">
        <v>1992</v>
      </c>
      <c r="K197" t="s">
        <v>1993</v>
      </c>
      <c r="L197" t="s">
        <v>1993</v>
      </c>
      <c r="M197">
        <v>0</v>
      </c>
      <c r="N197">
        <v>0</v>
      </c>
      <c r="O197">
        <v>0</v>
      </c>
      <c r="P197" t="s">
        <v>1994</v>
      </c>
      <c r="Q197" t="s">
        <v>30</v>
      </c>
      <c r="R197" t="s">
        <v>30</v>
      </c>
      <c r="S197">
        <v>32</v>
      </c>
      <c r="T197" t="s">
        <v>1995</v>
      </c>
      <c r="U197" t="s">
        <v>32</v>
      </c>
      <c r="V197" t="s">
        <v>32</v>
      </c>
      <c r="W197" t="s">
        <v>32</v>
      </c>
    </row>
    <row r="198" spans="1:23" x14ac:dyDescent="0.2">
      <c r="A198" t="s">
        <v>1996</v>
      </c>
      <c r="B198" t="s">
        <v>1996</v>
      </c>
      <c r="C198">
        <v>2231</v>
      </c>
      <c r="D198">
        <v>64</v>
      </c>
      <c r="E198" t="s">
        <v>1997</v>
      </c>
      <c r="F198" t="s">
        <v>1998</v>
      </c>
      <c r="G198" t="s">
        <v>1999</v>
      </c>
      <c r="H198" t="s">
        <v>2000</v>
      </c>
      <c r="I198" t="s">
        <v>2001</v>
      </c>
      <c r="J198" t="s">
        <v>2002</v>
      </c>
      <c r="K198" t="s">
        <v>2003</v>
      </c>
      <c r="L198" t="s">
        <v>2004</v>
      </c>
      <c r="M198">
        <v>0</v>
      </c>
      <c r="N198">
        <v>0</v>
      </c>
      <c r="O198">
        <v>0</v>
      </c>
      <c r="P198" t="s">
        <v>2005</v>
      </c>
      <c r="Q198" t="s">
        <v>30</v>
      </c>
      <c r="R198" t="s">
        <v>30</v>
      </c>
      <c r="S198">
        <v>0</v>
      </c>
      <c r="T198" t="s">
        <v>30</v>
      </c>
      <c r="U198" t="s">
        <v>32</v>
      </c>
      <c r="V198" t="s">
        <v>32</v>
      </c>
      <c r="W198" t="s">
        <v>32</v>
      </c>
    </row>
    <row r="199" spans="1:23" x14ac:dyDescent="0.2">
      <c r="A199" t="s">
        <v>2006</v>
      </c>
      <c r="B199" t="s">
        <v>2006</v>
      </c>
      <c r="C199">
        <v>1355</v>
      </c>
      <c r="D199">
        <v>63</v>
      </c>
      <c r="E199" t="s">
        <v>2007</v>
      </c>
      <c r="F199" t="s">
        <v>2008</v>
      </c>
      <c r="G199" t="s">
        <v>2009</v>
      </c>
      <c r="H199" t="s">
        <v>2010</v>
      </c>
      <c r="I199" t="s">
        <v>32</v>
      </c>
      <c r="J199" t="s">
        <v>2011</v>
      </c>
      <c r="K199" t="s">
        <v>2012</v>
      </c>
      <c r="L199" t="s">
        <v>213</v>
      </c>
      <c r="M199">
        <v>0</v>
      </c>
      <c r="N199">
        <v>0</v>
      </c>
      <c r="O199">
        <v>0</v>
      </c>
      <c r="P199" t="s">
        <v>2013</v>
      </c>
      <c r="Q199" t="s">
        <v>30</v>
      </c>
      <c r="R199" t="s">
        <v>30</v>
      </c>
      <c r="S199">
        <v>0</v>
      </c>
      <c r="T199" t="s">
        <v>30</v>
      </c>
      <c r="U199" t="s">
        <v>32</v>
      </c>
      <c r="V199" t="s">
        <v>32</v>
      </c>
      <c r="W199" t="s">
        <v>32</v>
      </c>
    </row>
    <row r="200" spans="1:23" x14ac:dyDescent="0.2">
      <c r="A200" t="s">
        <v>2014</v>
      </c>
      <c r="B200" t="s">
        <v>2014</v>
      </c>
      <c r="C200">
        <v>86</v>
      </c>
      <c r="D200">
        <v>62</v>
      </c>
      <c r="E200" t="s">
        <v>2015</v>
      </c>
      <c r="F200" t="s">
        <v>2016</v>
      </c>
      <c r="G200" t="s">
        <v>2017</v>
      </c>
      <c r="H200" t="s">
        <v>2018</v>
      </c>
      <c r="I200" t="s">
        <v>2019</v>
      </c>
      <c r="J200" t="s">
        <v>2020</v>
      </c>
      <c r="K200" t="s">
        <v>2021</v>
      </c>
      <c r="L200" t="s">
        <v>2022</v>
      </c>
      <c r="M200">
        <v>0</v>
      </c>
      <c r="N200">
        <v>0</v>
      </c>
      <c r="O200">
        <v>0</v>
      </c>
      <c r="P200" t="s">
        <v>1663</v>
      </c>
      <c r="Q200" t="s">
        <v>30</v>
      </c>
      <c r="R200" t="s">
        <v>30</v>
      </c>
      <c r="S200">
        <v>483</v>
      </c>
      <c r="T200" t="s">
        <v>2023</v>
      </c>
      <c r="U200" t="s">
        <v>32</v>
      </c>
      <c r="V200" t="s">
        <v>32</v>
      </c>
      <c r="W200" t="s">
        <v>32</v>
      </c>
    </row>
    <row r="201" spans="1:23" x14ac:dyDescent="0.2">
      <c r="A201" t="s">
        <v>2024</v>
      </c>
      <c r="B201" t="s">
        <v>2024</v>
      </c>
      <c r="C201">
        <v>103</v>
      </c>
      <c r="D201">
        <v>62</v>
      </c>
      <c r="E201" t="s">
        <v>2025</v>
      </c>
      <c r="F201" t="s">
        <v>2026</v>
      </c>
      <c r="G201" t="s">
        <v>2027</v>
      </c>
      <c r="H201" t="s">
        <v>2028</v>
      </c>
      <c r="I201" t="s">
        <v>2029</v>
      </c>
      <c r="J201" t="s">
        <v>2030</v>
      </c>
      <c r="K201" t="s">
        <v>2031</v>
      </c>
      <c r="L201" t="s">
        <v>2032</v>
      </c>
      <c r="M201">
        <v>0</v>
      </c>
      <c r="N201">
        <v>0</v>
      </c>
      <c r="O201">
        <v>0</v>
      </c>
      <c r="P201" t="s">
        <v>1119</v>
      </c>
      <c r="Q201" t="s">
        <v>30</v>
      </c>
      <c r="R201" t="s">
        <v>30</v>
      </c>
      <c r="S201">
        <v>191</v>
      </c>
      <c r="T201" t="s">
        <v>2033</v>
      </c>
      <c r="U201" t="s">
        <v>32</v>
      </c>
      <c r="V201" t="s">
        <v>32</v>
      </c>
      <c r="W201" t="s">
        <v>32</v>
      </c>
    </row>
    <row r="202" spans="1:23" x14ac:dyDescent="0.2">
      <c r="A202" t="s">
        <v>2034</v>
      </c>
      <c r="B202" t="s">
        <v>2035</v>
      </c>
      <c r="C202">
        <v>138</v>
      </c>
      <c r="D202">
        <v>44</v>
      </c>
      <c r="E202" t="s">
        <v>2036</v>
      </c>
      <c r="F202" t="s">
        <v>2037</v>
      </c>
      <c r="G202" t="s">
        <v>2038</v>
      </c>
      <c r="H202" t="s">
        <v>2039</v>
      </c>
      <c r="I202" t="s">
        <v>787</v>
      </c>
      <c r="J202" t="s">
        <v>2040</v>
      </c>
      <c r="K202" t="s">
        <v>2041</v>
      </c>
      <c r="L202" t="s">
        <v>2042</v>
      </c>
      <c r="M202">
        <v>424</v>
      </c>
      <c r="N202">
        <v>18</v>
      </c>
      <c r="O202">
        <v>2.35</v>
      </c>
      <c r="P202" t="s">
        <v>2043</v>
      </c>
      <c r="Q202" t="s">
        <v>2044</v>
      </c>
      <c r="R202" t="s">
        <v>1871</v>
      </c>
      <c r="S202">
        <v>158</v>
      </c>
      <c r="T202" t="s">
        <v>2045</v>
      </c>
      <c r="U202" t="s">
        <v>84</v>
      </c>
      <c r="V202" t="s">
        <v>32</v>
      </c>
      <c r="W202" t="s">
        <v>32</v>
      </c>
    </row>
    <row r="203" spans="1:23" x14ac:dyDescent="0.2">
      <c r="A203" t="s">
        <v>2046</v>
      </c>
      <c r="B203" t="s">
        <v>2047</v>
      </c>
      <c r="C203">
        <v>26</v>
      </c>
      <c r="D203">
        <v>26</v>
      </c>
      <c r="E203" t="s">
        <v>2048</v>
      </c>
      <c r="F203" t="s">
        <v>2049</v>
      </c>
      <c r="G203" t="s">
        <v>2048</v>
      </c>
      <c r="H203" t="s">
        <v>2049</v>
      </c>
      <c r="I203" t="s">
        <v>2050</v>
      </c>
      <c r="J203" t="s">
        <v>2051</v>
      </c>
      <c r="K203" t="s">
        <v>2052</v>
      </c>
      <c r="L203" t="s">
        <v>2052</v>
      </c>
      <c r="M203">
        <v>225</v>
      </c>
      <c r="N203">
        <v>37</v>
      </c>
      <c r="O203">
        <v>3.8</v>
      </c>
      <c r="P203" t="s">
        <v>2053</v>
      </c>
      <c r="Q203" t="s">
        <v>2054</v>
      </c>
      <c r="R203" t="s">
        <v>1023</v>
      </c>
      <c r="S203">
        <v>95</v>
      </c>
      <c r="T203" t="s">
        <v>1023</v>
      </c>
      <c r="U203" t="s">
        <v>32</v>
      </c>
      <c r="V203" t="s">
        <v>32</v>
      </c>
      <c r="W203" t="s">
        <v>32</v>
      </c>
    </row>
    <row r="204" spans="1:23" x14ac:dyDescent="0.2">
      <c r="A204" t="s">
        <v>2055</v>
      </c>
      <c r="B204" t="s">
        <v>2056</v>
      </c>
      <c r="C204">
        <v>1340</v>
      </c>
      <c r="D204">
        <v>62</v>
      </c>
      <c r="E204" t="s">
        <v>2057</v>
      </c>
      <c r="F204" t="s">
        <v>2058</v>
      </c>
      <c r="G204" t="s">
        <v>2059</v>
      </c>
      <c r="H204" t="s">
        <v>2060</v>
      </c>
      <c r="I204" t="s">
        <v>2061</v>
      </c>
      <c r="J204" t="s">
        <v>2062</v>
      </c>
      <c r="K204" t="s">
        <v>2063</v>
      </c>
      <c r="L204" t="s">
        <v>2064</v>
      </c>
      <c r="M204">
        <v>0</v>
      </c>
      <c r="N204">
        <v>0</v>
      </c>
      <c r="O204">
        <v>0</v>
      </c>
      <c r="P204" t="s">
        <v>2065</v>
      </c>
      <c r="Q204" t="s">
        <v>30</v>
      </c>
      <c r="R204" t="s">
        <v>30</v>
      </c>
      <c r="S204">
        <v>0</v>
      </c>
      <c r="T204" t="s">
        <v>30</v>
      </c>
      <c r="U204" t="s">
        <v>32</v>
      </c>
      <c r="V204" t="s">
        <v>32</v>
      </c>
      <c r="W204" t="s">
        <v>32</v>
      </c>
    </row>
    <row r="205" spans="1:23" x14ac:dyDescent="0.2">
      <c r="A205" t="s">
        <v>2066</v>
      </c>
      <c r="B205" t="s">
        <v>2066</v>
      </c>
      <c r="C205">
        <v>46</v>
      </c>
      <c r="D205">
        <v>46</v>
      </c>
      <c r="E205" t="s">
        <v>2067</v>
      </c>
      <c r="F205" t="s">
        <v>2068</v>
      </c>
      <c r="G205" t="s">
        <v>2067</v>
      </c>
      <c r="H205" t="s">
        <v>2068</v>
      </c>
      <c r="I205" t="s">
        <v>2069</v>
      </c>
      <c r="J205" t="s">
        <v>2070</v>
      </c>
      <c r="K205" t="s">
        <v>2071</v>
      </c>
      <c r="L205" t="s">
        <v>2071</v>
      </c>
      <c r="M205">
        <v>275</v>
      </c>
      <c r="N205">
        <v>0</v>
      </c>
      <c r="O205">
        <v>0</v>
      </c>
      <c r="P205" t="s">
        <v>2072</v>
      </c>
      <c r="Q205" t="s">
        <v>30</v>
      </c>
      <c r="R205" t="s">
        <v>1000</v>
      </c>
      <c r="S205">
        <v>212</v>
      </c>
      <c r="T205" t="s">
        <v>1000</v>
      </c>
      <c r="U205" t="s">
        <v>32</v>
      </c>
      <c r="V205" t="s">
        <v>32</v>
      </c>
      <c r="W205" t="s">
        <v>32</v>
      </c>
    </row>
    <row r="206" spans="1:23" x14ac:dyDescent="0.2">
      <c r="A206" t="s">
        <v>2073</v>
      </c>
      <c r="B206" t="s">
        <v>2073</v>
      </c>
      <c r="C206">
        <v>140</v>
      </c>
      <c r="D206">
        <v>32</v>
      </c>
      <c r="E206" t="s">
        <v>2074</v>
      </c>
      <c r="F206" t="s">
        <v>2075</v>
      </c>
      <c r="G206" t="s">
        <v>2076</v>
      </c>
      <c r="H206" t="s">
        <v>2077</v>
      </c>
      <c r="I206" t="s">
        <v>2078</v>
      </c>
      <c r="J206" t="s">
        <v>2079</v>
      </c>
      <c r="K206" t="s">
        <v>2080</v>
      </c>
      <c r="L206" t="s">
        <v>2081</v>
      </c>
      <c r="M206">
        <v>413</v>
      </c>
      <c r="N206">
        <v>28</v>
      </c>
      <c r="O206">
        <v>2.7</v>
      </c>
      <c r="P206" t="s">
        <v>2082</v>
      </c>
      <c r="Q206" t="s">
        <v>2083</v>
      </c>
      <c r="R206" t="s">
        <v>2084</v>
      </c>
      <c r="S206">
        <v>798</v>
      </c>
      <c r="T206" t="s">
        <v>2085</v>
      </c>
      <c r="U206" t="s">
        <v>32</v>
      </c>
      <c r="V206" t="s">
        <v>32</v>
      </c>
      <c r="W206" t="s">
        <v>32</v>
      </c>
    </row>
    <row r="207" spans="1:23" x14ac:dyDescent="0.2">
      <c r="A207" t="s">
        <v>2086</v>
      </c>
      <c r="B207" t="s">
        <v>2086</v>
      </c>
      <c r="C207">
        <v>1872</v>
      </c>
      <c r="D207">
        <v>53</v>
      </c>
      <c r="E207" t="s">
        <v>2087</v>
      </c>
      <c r="F207" t="s">
        <v>2088</v>
      </c>
      <c r="G207" t="s">
        <v>2089</v>
      </c>
      <c r="H207" t="s">
        <v>2090</v>
      </c>
      <c r="I207" t="s">
        <v>32</v>
      </c>
      <c r="J207" t="s">
        <v>32</v>
      </c>
      <c r="K207" t="s">
        <v>30</v>
      </c>
      <c r="L207" t="s">
        <v>30</v>
      </c>
      <c r="M207">
        <v>0</v>
      </c>
      <c r="N207">
        <v>0</v>
      </c>
      <c r="O207">
        <v>0</v>
      </c>
      <c r="P207" t="s">
        <v>2091</v>
      </c>
      <c r="Q207" t="s">
        <v>30</v>
      </c>
      <c r="R207" t="s">
        <v>30</v>
      </c>
      <c r="S207">
        <v>0</v>
      </c>
      <c r="T207" t="s">
        <v>30</v>
      </c>
      <c r="U207" t="s">
        <v>32</v>
      </c>
      <c r="V207" t="s">
        <v>32</v>
      </c>
      <c r="W207" t="s">
        <v>32</v>
      </c>
    </row>
    <row r="208" spans="1:23" x14ac:dyDescent="0.2">
      <c r="A208" t="s">
        <v>2092</v>
      </c>
      <c r="B208" t="s">
        <v>2092</v>
      </c>
      <c r="C208">
        <v>219</v>
      </c>
      <c r="D208">
        <v>42</v>
      </c>
      <c r="E208" t="s">
        <v>2093</v>
      </c>
      <c r="F208" t="s">
        <v>2094</v>
      </c>
      <c r="G208" t="s">
        <v>2095</v>
      </c>
      <c r="H208" t="s">
        <v>2096</v>
      </c>
      <c r="I208" t="s">
        <v>2097</v>
      </c>
      <c r="J208" t="s">
        <v>2098</v>
      </c>
      <c r="K208" t="s">
        <v>2099</v>
      </c>
      <c r="L208" t="s">
        <v>2100</v>
      </c>
      <c r="M208">
        <v>454</v>
      </c>
      <c r="N208">
        <v>4</v>
      </c>
      <c r="O208">
        <v>0.18</v>
      </c>
      <c r="P208" t="s">
        <v>2101</v>
      </c>
      <c r="Q208" t="s">
        <v>2102</v>
      </c>
      <c r="R208" t="s">
        <v>2103</v>
      </c>
      <c r="S208">
        <v>346</v>
      </c>
      <c r="T208" t="s">
        <v>2104</v>
      </c>
      <c r="U208" t="s">
        <v>84</v>
      </c>
      <c r="V208" t="s">
        <v>32</v>
      </c>
      <c r="W208" t="s">
        <v>32</v>
      </c>
    </row>
    <row r="209" spans="1:23" x14ac:dyDescent="0.2">
      <c r="A209" t="s">
        <v>2105</v>
      </c>
      <c r="B209" t="s">
        <v>2106</v>
      </c>
      <c r="C209">
        <v>169</v>
      </c>
      <c r="D209">
        <v>169</v>
      </c>
      <c r="E209" t="s">
        <v>2107</v>
      </c>
      <c r="F209" t="s">
        <v>2108</v>
      </c>
      <c r="G209" t="s">
        <v>2107</v>
      </c>
      <c r="H209" t="s">
        <v>2108</v>
      </c>
      <c r="I209" t="s">
        <v>2109</v>
      </c>
      <c r="J209" t="s">
        <v>2110</v>
      </c>
      <c r="K209" t="s">
        <v>2111</v>
      </c>
      <c r="L209" t="s">
        <v>2111</v>
      </c>
      <c r="M209">
        <v>809</v>
      </c>
      <c r="N209">
        <v>35</v>
      </c>
      <c r="O209">
        <v>8.5</v>
      </c>
      <c r="P209" t="s">
        <v>2112</v>
      </c>
      <c r="Q209" t="s">
        <v>1383</v>
      </c>
      <c r="R209" t="s">
        <v>2113</v>
      </c>
      <c r="S209">
        <v>1028</v>
      </c>
      <c r="T209" t="s">
        <v>2113</v>
      </c>
      <c r="U209" t="s">
        <v>32</v>
      </c>
      <c r="V209" t="s">
        <v>32</v>
      </c>
      <c r="W209" t="s">
        <v>32</v>
      </c>
    </row>
    <row r="210" spans="1:23" x14ac:dyDescent="0.2">
      <c r="A210" t="s">
        <v>2114</v>
      </c>
      <c r="B210" t="s">
        <v>2115</v>
      </c>
      <c r="C210">
        <v>184</v>
      </c>
      <c r="D210">
        <v>43</v>
      </c>
      <c r="E210" t="s">
        <v>2116</v>
      </c>
      <c r="F210" t="s">
        <v>2117</v>
      </c>
      <c r="G210" t="s">
        <v>2118</v>
      </c>
      <c r="H210" t="s">
        <v>1034</v>
      </c>
      <c r="I210" t="s">
        <v>2119</v>
      </c>
      <c r="J210" t="s">
        <v>2120</v>
      </c>
      <c r="K210" t="s">
        <v>572</v>
      </c>
      <c r="L210" t="s">
        <v>2121</v>
      </c>
      <c r="M210">
        <v>461</v>
      </c>
      <c r="N210">
        <v>12</v>
      </c>
      <c r="O210">
        <v>4.97</v>
      </c>
      <c r="P210" t="s">
        <v>2122</v>
      </c>
      <c r="Q210" t="s">
        <v>2123</v>
      </c>
      <c r="R210" t="s">
        <v>2124</v>
      </c>
      <c r="S210">
        <v>484</v>
      </c>
      <c r="T210" t="s">
        <v>2125</v>
      </c>
      <c r="U210" t="s">
        <v>32</v>
      </c>
      <c r="V210" t="s">
        <v>32</v>
      </c>
      <c r="W210" t="s">
        <v>32</v>
      </c>
    </row>
    <row r="211" spans="1:23" x14ac:dyDescent="0.2">
      <c r="A211" t="s">
        <v>2126</v>
      </c>
      <c r="B211" t="s">
        <v>2126</v>
      </c>
      <c r="C211">
        <v>145</v>
      </c>
      <c r="D211">
        <v>79</v>
      </c>
      <c r="E211" t="s">
        <v>2127</v>
      </c>
      <c r="F211" t="s">
        <v>2128</v>
      </c>
      <c r="G211" t="s">
        <v>2129</v>
      </c>
      <c r="H211" t="s">
        <v>2130</v>
      </c>
      <c r="I211" t="s">
        <v>2019</v>
      </c>
      <c r="J211" t="s">
        <v>2131</v>
      </c>
      <c r="K211" t="s">
        <v>2132</v>
      </c>
      <c r="L211" t="s">
        <v>2133</v>
      </c>
      <c r="M211">
        <v>0</v>
      </c>
      <c r="N211">
        <v>0</v>
      </c>
      <c r="O211">
        <v>0</v>
      </c>
      <c r="P211" t="s">
        <v>2134</v>
      </c>
      <c r="Q211" t="s">
        <v>30</v>
      </c>
      <c r="R211" t="s">
        <v>30</v>
      </c>
      <c r="S211">
        <v>415</v>
      </c>
      <c r="T211" t="s">
        <v>2135</v>
      </c>
      <c r="U211" t="s">
        <v>32</v>
      </c>
      <c r="V211" t="s">
        <v>32</v>
      </c>
      <c r="W211" t="s">
        <v>32</v>
      </c>
    </row>
    <row r="212" spans="1:23" x14ac:dyDescent="0.2">
      <c r="A212" t="s">
        <v>2136</v>
      </c>
      <c r="B212" t="s">
        <v>2137</v>
      </c>
      <c r="C212">
        <v>51</v>
      </c>
      <c r="D212">
        <v>51</v>
      </c>
      <c r="E212" t="s">
        <v>2138</v>
      </c>
      <c r="F212" t="s">
        <v>2139</v>
      </c>
      <c r="G212" t="s">
        <v>2138</v>
      </c>
      <c r="H212" t="s">
        <v>2139</v>
      </c>
      <c r="I212" t="s">
        <v>2140</v>
      </c>
      <c r="J212" t="s">
        <v>2141</v>
      </c>
      <c r="K212" t="s">
        <v>2142</v>
      </c>
      <c r="L212" t="s">
        <v>2142</v>
      </c>
      <c r="M212">
        <v>467</v>
      </c>
      <c r="N212">
        <v>56</v>
      </c>
      <c r="O212">
        <v>6.5</v>
      </c>
      <c r="P212" t="s">
        <v>2143</v>
      </c>
      <c r="Q212" t="s">
        <v>2144</v>
      </c>
      <c r="R212" t="s">
        <v>31</v>
      </c>
      <c r="S212">
        <v>131</v>
      </c>
      <c r="T212" t="s">
        <v>31</v>
      </c>
      <c r="U212" t="s">
        <v>32</v>
      </c>
      <c r="V212" t="s">
        <v>32</v>
      </c>
      <c r="W212" t="s">
        <v>32</v>
      </c>
    </row>
    <row r="213" spans="1:23" x14ac:dyDescent="0.2">
      <c r="A213" t="s">
        <v>2145</v>
      </c>
      <c r="B213" t="s">
        <v>2145</v>
      </c>
      <c r="C213">
        <v>77</v>
      </c>
      <c r="D213">
        <v>33</v>
      </c>
      <c r="E213" t="s">
        <v>2146</v>
      </c>
      <c r="F213" t="s">
        <v>2147</v>
      </c>
      <c r="G213" t="s">
        <v>2148</v>
      </c>
      <c r="H213" t="s">
        <v>2149</v>
      </c>
      <c r="I213" t="s">
        <v>2150</v>
      </c>
      <c r="J213" t="s">
        <v>2151</v>
      </c>
      <c r="K213" t="s">
        <v>120</v>
      </c>
      <c r="L213" t="s">
        <v>2152</v>
      </c>
      <c r="M213">
        <v>0</v>
      </c>
      <c r="N213">
        <v>0</v>
      </c>
      <c r="O213">
        <v>0</v>
      </c>
      <c r="P213" t="s">
        <v>2153</v>
      </c>
      <c r="Q213" t="s">
        <v>30</v>
      </c>
      <c r="R213" t="s">
        <v>30</v>
      </c>
      <c r="S213">
        <v>145</v>
      </c>
      <c r="T213" t="s">
        <v>2154</v>
      </c>
      <c r="U213" t="s">
        <v>32</v>
      </c>
      <c r="V213" t="s">
        <v>32</v>
      </c>
      <c r="W213" t="s">
        <v>32</v>
      </c>
    </row>
    <row r="214" spans="1:23" x14ac:dyDescent="0.2">
      <c r="A214" t="s">
        <v>2155</v>
      </c>
      <c r="B214" t="s">
        <v>2155</v>
      </c>
      <c r="C214">
        <v>1881</v>
      </c>
      <c r="D214">
        <v>53</v>
      </c>
      <c r="E214" t="s">
        <v>2156</v>
      </c>
      <c r="F214" t="s">
        <v>2157</v>
      </c>
      <c r="G214" t="s">
        <v>2158</v>
      </c>
      <c r="H214" t="s">
        <v>2159</v>
      </c>
      <c r="I214" t="s">
        <v>32</v>
      </c>
      <c r="J214" t="s">
        <v>2160</v>
      </c>
      <c r="K214" t="s">
        <v>537</v>
      </c>
      <c r="L214" t="s">
        <v>2161</v>
      </c>
      <c r="M214">
        <v>0</v>
      </c>
      <c r="N214">
        <v>0</v>
      </c>
      <c r="O214">
        <v>0</v>
      </c>
      <c r="P214" t="s">
        <v>2162</v>
      </c>
      <c r="Q214" t="s">
        <v>30</v>
      </c>
      <c r="R214" t="s">
        <v>30</v>
      </c>
      <c r="S214">
        <v>0</v>
      </c>
      <c r="T214" t="s">
        <v>30</v>
      </c>
      <c r="U214" t="s">
        <v>32</v>
      </c>
      <c r="V214" t="s">
        <v>32</v>
      </c>
      <c r="W214" t="s">
        <v>32</v>
      </c>
    </row>
    <row r="215" spans="1:23" x14ac:dyDescent="0.2">
      <c r="A215" t="s">
        <v>2163</v>
      </c>
      <c r="B215" t="s">
        <v>2163</v>
      </c>
      <c r="C215">
        <v>116</v>
      </c>
      <c r="D215">
        <v>30</v>
      </c>
      <c r="E215" t="s">
        <v>2164</v>
      </c>
      <c r="F215" t="s">
        <v>2165</v>
      </c>
      <c r="G215" t="s">
        <v>2166</v>
      </c>
      <c r="H215" t="s">
        <v>2167</v>
      </c>
      <c r="I215" t="s">
        <v>2168</v>
      </c>
      <c r="J215" t="s">
        <v>2169</v>
      </c>
      <c r="K215" t="s">
        <v>2170</v>
      </c>
      <c r="L215" t="s">
        <v>2171</v>
      </c>
      <c r="M215">
        <v>0</v>
      </c>
      <c r="N215">
        <v>0</v>
      </c>
      <c r="O215">
        <v>0</v>
      </c>
      <c r="P215" t="s">
        <v>2172</v>
      </c>
      <c r="Q215" t="s">
        <v>30</v>
      </c>
      <c r="R215" t="s">
        <v>30</v>
      </c>
      <c r="S215">
        <v>173</v>
      </c>
      <c r="T215" t="s">
        <v>2173</v>
      </c>
      <c r="U215" t="s">
        <v>32</v>
      </c>
      <c r="V215" t="s">
        <v>32</v>
      </c>
      <c r="W215" t="s">
        <v>32</v>
      </c>
    </row>
    <row r="216" spans="1:23" x14ac:dyDescent="0.2">
      <c r="A216" t="s">
        <v>2174</v>
      </c>
      <c r="B216" t="s">
        <v>2174</v>
      </c>
      <c r="C216">
        <v>1863</v>
      </c>
      <c r="D216">
        <v>52</v>
      </c>
      <c r="E216" t="s">
        <v>2175</v>
      </c>
      <c r="F216" t="s">
        <v>2176</v>
      </c>
      <c r="G216" t="s">
        <v>2177</v>
      </c>
      <c r="H216" t="s">
        <v>2178</v>
      </c>
      <c r="I216" t="s">
        <v>545</v>
      </c>
      <c r="J216" t="s">
        <v>2179</v>
      </c>
      <c r="K216" t="s">
        <v>415</v>
      </c>
      <c r="L216" t="s">
        <v>2180</v>
      </c>
      <c r="M216">
        <v>0</v>
      </c>
      <c r="N216">
        <v>0</v>
      </c>
      <c r="O216">
        <v>0</v>
      </c>
      <c r="P216" t="s">
        <v>2181</v>
      </c>
      <c r="Q216" t="s">
        <v>30</v>
      </c>
      <c r="R216" t="s">
        <v>30</v>
      </c>
      <c r="S216">
        <v>0</v>
      </c>
      <c r="T216" t="s">
        <v>30</v>
      </c>
      <c r="U216" t="s">
        <v>32</v>
      </c>
      <c r="V216" t="s">
        <v>32</v>
      </c>
      <c r="W216" t="s">
        <v>32</v>
      </c>
    </row>
    <row r="217" spans="1:23" x14ac:dyDescent="0.2">
      <c r="A217" t="s">
        <v>2182</v>
      </c>
      <c r="B217" t="s">
        <v>2183</v>
      </c>
      <c r="C217">
        <v>51</v>
      </c>
      <c r="D217">
        <v>51</v>
      </c>
      <c r="E217" t="s">
        <v>2184</v>
      </c>
      <c r="F217" t="s">
        <v>2185</v>
      </c>
      <c r="G217" t="s">
        <v>2184</v>
      </c>
      <c r="H217" t="s">
        <v>2185</v>
      </c>
      <c r="I217" t="s">
        <v>1964</v>
      </c>
      <c r="J217" t="s">
        <v>2186</v>
      </c>
      <c r="K217" t="s">
        <v>2187</v>
      </c>
      <c r="L217" t="s">
        <v>2187</v>
      </c>
      <c r="M217">
        <v>0</v>
      </c>
      <c r="N217">
        <v>0</v>
      </c>
      <c r="O217">
        <v>0</v>
      </c>
      <c r="P217" t="s">
        <v>2188</v>
      </c>
      <c r="Q217" t="s">
        <v>30</v>
      </c>
      <c r="R217" t="s">
        <v>30</v>
      </c>
      <c r="S217">
        <v>61</v>
      </c>
      <c r="T217" t="s">
        <v>2189</v>
      </c>
      <c r="U217" t="s">
        <v>32</v>
      </c>
      <c r="V217" t="s">
        <v>32</v>
      </c>
      <c r="W217" t="s">
        <v>32</v>
      </c>
    </row>
    <row r="218" spans="1:23" x14ac:dyDescent="0.2">
      <c r="A218" t="s">
        <v>2190</v>
      </c>
      <c r="B218" t="s">
        <v>2190</v>
      </c>
      <c r="C218">
        <v>1867</v>
      </c>
      <c r="D218">
        <v>51</v>
      </c>
      <c r="E218" t="s">
        <v>2191</v>
      </c>
      <c r="F218" t="s">
        <v>2192</v>
      </c>
      <c r="G218" t="s">
        <v>2193</v>
      </c>
      <c r="H218" t="s">
        <v>2194</v>
      </c>
      <c r="I218" t="s">
        <v>32</v>
      </c>
      <c r="J218" t="s">
        <v>2195</v>
      </c>
      <c r="K218" t="s">
        <v>200</v>
      </c>
      <c r="L218" t="s">
        <v>2196</v>
      </c>
      <c r="M218">
        <v>0</v>
      </c>
      <c r="N218">
        <v>0</v>
      </c>
      <c r="O218">
        <v>0</v>
      </c>
      <c r="P218" t="s">
        <v>912</v>
      </c>
      <c r="Q218" t="s">
        <v>30</v>
      </c>
      <c r="R218" t="s">
        <v>30</v>
      </c>
      <c r="S218">
        <v>0</v>
      </c>
      <c r="T218" t="s">
        <v>30</v>
      </c>
      <c r="U218" t="s">
        <v>32</v>
      </c>
      <c r="V218" t="s">
        <v>32</v>
      </c>
      <c r="W218" t="s">
        <v>32</v>
      </c>
    </row>
    <row r="219" spans="1:23" x14ac:dyDescent="0.2">
      <c r="A219" t="s">
        <v>2197</v>
      </c>
      <c r="B219" t="s">
        <v>2198</v>
      </c>
      <c r="C219">
        <v>25</v>
      </c>
      <c r="D219">
        <v>25</v>
      </c>
      <c r="E219" t="s">
        <v>2199</v>
      </c>
      <c r="F219" t="s">
        <v>2200</v>
      </c>
      <c r="G219" t="s">
        <v>2199</v>
      </c>
      <c r="H219" t="s">
        <v>2200</v>
      </c>
      <c r="I219" t="s">
        <v>2201</v>
      </c>
      <c r="J219" t="s">
        <v>2202</v>
      </c>
      <c r="K219" t="s">
        <v>2203</v>
      </c>
      <c r="L219" t="s">
        <v>2203</v>
      </c>
      <c r="M219">
        <v>0</v>
      </c>
      <c r="N219">
        <v>0</v>
      </c>
      <c r="O219">
        <v>0</v>
      </c>
      <c r="P219" t="s">
        <v>2204</v>
      </c>
      <c r="Q219" t="s">
        <v>30</v>
      </c>
      <c r="R219" t="s">
        <v>30</v>
      </c>
      <c r="S219">
        <v>154</v>
      </c>
      <c r="T219" t="s">
        <v>154</v>
      </c>
      <c r="U219" t="s">
        <v>32</v>
      </c>
      <c r="V219" t="s">
        <v>32</v>
      </c>
      <c r="W219" t="s">
        <v>32</v>
      </c>
    </row>
    <row r="220" spans="1:23" x14ac:dyDescent="0.2">
      <c r="A220" t="s">
        <v>2205</v>
      </c>
      <c r="B220" t="s">
        <v>2205</v>
      </c>
      <c r="C220">
        <v>102</v>
      </c>
      <c r="D220">
        <v>40</v>
      </c>
      <c r="E220" t="s">
        <v>2206</v>
      </c>
      <c r="F220" t="s">
        <v>2207</v>
      </c>
      <c r="G220" t="s">
        <v>2208</v>
      </c>
      <c r="H220" t="s">
        <v>2209</v>
      </c>
      <c r="I220" t="s">
        <v>918</v>
      </c>
      <c r="J220" t="s">
        <v>2210</v>
      </c>
      <c r="K220" t="s">
        <v>2211</v>
      </c>
      <c r="L220" t="s">
        <v>2212</v>
      </c>
      <c r="M220">
        <v>0</v>
      </c>
      <c r="N220">
        <v>0</v>
      </c>
      <c r="O220">
        <v>0</v>
      </c>
      <c r="P220" t="s">
        <v>2213</v>
      </c>
      <c r="Q220" t="s">
        <v>30</v>
      </c>
      <c r="R220" t="s">
        <v>30</v>
      </c>
      <c r="S220">
        <v>208</v>
      </c>
      <c r="T220" t="s">
        <v>2214</v>
      </c>
      <c r="U220" t="s">
        <v>32</v>
      </c>
      <c r="V220" t="s">
        <v>32</v>
      </c>
      <c r="W220" t="s">
        <v>32</v>
      </c>
    </row>
    <row r="221" spans="1:23" x14ac:dyDescent="0.2">
      <c r="A221" t="s">
        <v>2215</v>
      </c>
      <c r="B221" t="s">
        <v>2215</v>
      </c>
      <c r="C221">
        <v>191</v>
      </c>
      <c r="D221">
        <v>21</v>
      </c>
      <c r="E221" t="s">
        <v>2216</v>
      </c>
      <c r="F221" t="s">
        <v>2217</v>
      </c>
      <c r="G221" t="s">
        <v>2218</v>
      </c>
      <c r="H221" t="s">
        <v>2219</v>
      </c>
      <c r="I221" t="s">
        <v>32</v>
      </c>
      <c r="J221" t="s">
        <v>2220</v>
      </c>
      <c r="K221" t="s">
        <v>2221</v>
      </c>
      <c r="L221" t="s">
        <v>2222</v>
      </c>
      <c r="M221">
        <v>211</v>
      </c>
      <c r="N221">
        <v>0</v>
      </c>
      <c r="O221">
        <v>0</v>
      </c>
      <c r="P221" t="s">
        <v>2223</v>
      </c>
      <c r="Q221" t="s">
        <v>30</v>
      </c>
      <c r="R221" t="s">
        <v>2224</v>
      </c>
      <c r="S221">
        <v>156</v>
      </c>
      <c r="T221" t="s">
        <v>2225</v>
      </c>
      <c r="U221" t="s">
        <v>84</v>
      </c>
      <c r="V221" t="s">
        <v>32</v>
      </c>
      <c r="W221" t="s">
        <v>32</v>
      </c>
    </row>
    <row r="222" spans="1:23" x14ac:dyDescent="0.2">
      <c r="A222" t="s">
        <v>2226</v>
      </c>
      <c r="B222" t="s">
        <v>2227</v>
      </c>
      <c r="C222">
        <v>53</v>
      </c>
      <c r="D222">
        <v>53</v>
      </c>
      <c r="E222" t="s">
        <v>2228</v>
      </c>
      <c r="F222" t="s">
        <v>2229</v>
      </c>
      <c r="G222" t="s">
        <v>2228</v>
      </c>
      <c r="H222" t="s">
        <v>2229</v>
      </c>
      <c r="I222" t="s">
        <v>2230</v>
      </c>
      <c r="J222" t="s">
        <v>2231</v>
      </c>
      <c r="K222" t="s">
        <v>2232</v>
      </c>
      <c r="L222" t="s">
        <v>2232</v>
      </c>
      <c r="M222">
        <v>449</v>
      </c>
      <c r="N222">
        <v>21</v>
      </c>
      <c r="O222">
        <v>1.73</v>
      </c>
      <c r="P222" t="s">
        <v>2233</v>
      </c>
      <c r="Q222" t="s">
        <v>2234</v>
      </c>
      <c r="R222" t="s">
        <v>2235</v>
      </c>
      <c r="S222">
        <v>298</v>
      </c>
      <c r="T222" t="s">
        <v>2235</v>
      </c>
      <c r="U222" t="s">
        <v>32</v>
      </c>
      <c r="V222" t="s">
        <v>32</v>
      </c>
      <c r="W222" t="s">
        <v>32</v>
      </c>
    </row>
    <row r="223" spans="1:23" x14ac:dyDescent="0.2">
      <c r="A223" t="s">
        <v>2236</v>
      </c>
      <c r="B223" t="s">
        <v>2236</v>
      </c>
      <c r="C223">
        <v>60</v>
      </c>
      <c r="D223">
        <v>34</v>
      </c>
      <c r="E223" t="s">
        <v>2237</v>
      </c>
      <c r="F223" t="s">
        <v>2238</v>
      </c>
      <c r="G223" t="s">
        <v>2239</v>
      </c>
      <c r="H223" t="s">
        <v>2240</v>
      </c>
      <c r="I223" t="s">
        <v>2241</v>
      </c>
      <c r="J223" t="s">
        <v>2242</v>
      </c>
      <c r="K223" t="s">
        <v>2243</v>
      </c>
      <c r="L223" t="s">
        <v>2244</v>
      </c>
      <c r="M223">
        <v>0</v>
      </c>
      <c r="N223">
        <v>0</v>
      </c>
      <c r="O223">
        <v>0</v>
      </c>
      <c r="P223" t="s">
        <v>329</v>
      </c>
      <c r="Q223" t="s">
        <v>30</v>
      </c>
      <c r="R223" t="s">
        <v>30</v>
      </c>
      <c r="S223">
        <v>87</v>
      </c>
      <c r="T223" t="s">
        <v>1940</v>
      </c>
      <c r="U223" t="s">
        <v>32</v>
      </c>
      <c r="V223" t="s">
        <v>32</v>
      </c>
      <c r="W223" t="s">
        <v>32</v>
      </c>
    </row>
    <row r="224" spans="1:23" x14ac:dyDescent="0.2">
      <c r="A224" t="s">
        <v>2245</v>
      </c>
      <c r="B224" t="s">
        <v>2245</v>
      </c>
      <c r="C224">
        <v>33</v>
      </c>
      <c r="D224">
        <v>33</v>
      </c>
      <c r="E224" t="s">
        <v>2246</v>
      </c>
      <c r="F224" t="s">
        <v>2247</v>
      </c>
      <c r="G224" t="s">
        <v>2246</v>
      </c>
      <c r="H224" t="s">
        <v>2247</v>
      </c>
      <c r="I224" t="s">
        <v>2248</v>
      </c>
      <c r="J224" t="s">
        <v>2249</v>
      </c>
      <c r="K224" t="s">
        <v>2250</v>
      </c>
      <c r="L224" t="s">
        <v>2250</v>
      </c>
      <c r="M224">
        <v>0</v>
      </c>
      <c r="N224">
        <v>0</v>
      </c>
      <c r="O224">
        <v>0</v>
      </c>
      <c r="P224" t="s">
        <v>2251</v>
      </c>
      <c r="Q224" t="s">
        <v>30</v>
      </c>
      <c r="R224" t="s">
        <v>30</v>
      </c>
      <c r="S224">
        <v>200</v>
      </c>
      <c r="T224" t="s">
        <v>154</v>
      </c>
      <c r="U224" t="s">
        <v>32</v>
      </c>
      <c r="V224" t="s">
        <v>32</v>
      </c>
      <c r="W224" t="s">
        <v>32</v>
      </c>
    </row>
    <row r="225" spans="1:23" x14ac:dyDescent="0.2">
      <c r="A225" t="s">
        <v>2252</v>
      </c>
      <c r="B225" t="s">
        <v>2252</v>
      </c>
      <c r="C225">
        <v>175</v>
      </c>
      <c r="D225">
        <v>44</v>
      </c>
      <c r="E225" t="s">
        <v>2253</v>
      </c>
      <c r="F225" t="s">
        <v>2254</v>
      </c>
      <c r="G225" t="s">
        <v>2255</v>
      </c>
      <c r="H225" t="s">
        <v>2256</v>
      </c>
      <c r="I225" t="s">
        <v>32</v>
      </c>
      <c r="J225" t="s">
        <v>2257</v>
      </c>
      <c r="K225" t="s">
        <v>631</v>
      </c>
      <c r="L225" t="s">
        <v>2064</v>
      </c>
      <c r="M225">
        <v>627</v>
      </c>
      <c r="N225">
        <v>29</v>
      </c>
      <c r="O225">
        <v>2.25</v>
      </c>
      <c r="P225" t="s">
        <v>2258</v>
      </c>
      <c r="Q225" t="s">
        <v>2259</v>
      </c>
      <c r="R225" t="s">
        <v>2260</v>
      </c>
      <c r="S225">
        <v>346</v>
      </c>
      <c r="T225" t="s">
        <v>2261</v>
      </c>
      <c r="U225" t="s">
        <v>32</v>
      </c>
      <c r="V225" t="s">
        <v>32</v>
      </c>
      <c r="W225" t="s">
        <v>32</v>
      </c>
    </row>
    <row r="226" spans="1:23" x14ac:dyDescent="0.2">
      <c r="A226" t="s">
        <v>2262</v>
      </c>
      <c r="B226" t="s">
        <v>2262</v>
      </c>
      <c r="C226">
        <v>1874</v>
      </c>
      <c r="D226">
        <v>52</v>
      </c>
      <c r="E226" t="s">
        <v>2263</v>
      </c>
      <c r="F226" t="s">
        <v>2264</v>
      </c>
      <c r="G226" t="s">
        <v>2265</v>
      </c>
      <c r="H226" t="s">
        <v>2266</v>
      </c>
      <c r="I226" t="s">
        <v>32</v>
      </c>
      <c r="J226" t="s">
        <v>2267</v>
      </c>
      <c r="K226" t="s">
        <v>630</v>
      </c>
      <c r="L226" t="s">
        <v>2268</v>
      </c>
      <c r="M226">
        <v>0</v>
      </c>
      <c r="N226">
        <v>0</v>
      </c>
      <c r="O226">
        <v>0</v>
      </c>
      <c r="P226" t="s">
        <v>1615</v>
      </c>
      <c r="Q226" t="s">
        <v>30</v>
      </c>
      <c r="R226" t="s">
        <v>30</v>
      </c>
      <c r="S226">
        <v>0</v>
      </c>
      <c r="T226" t="s">
        <v>30</v>
      </c>
      <c r="U226" t="s">
        <v>32</v>
      </c>
      <c r="V226" t="s">
        <v>32</v>
      </c>
      <c r="W226" t="s">
        <v>32</v>
      </c>
    </row>
    <row r="227" spans="1:23" x14ac:dyDescent="0.2">
      <c r="A227" t="s">
        <v>2269</v>
      </c>
      <c r="B227" t="s">
        <v>2270</v>
      </c>
      <c r="C227">
        <v>43</v>
      </c>
      <c r="D227">
        <v>43</v>
      </c>
      <c r="E227" t="s">
        <v>2271</v>
      </c>
      <c r="F227" t="s">
        <v>2272</v>
      </c>
      <c r="G227" t="s">
        <v>2271</v>
      </c>
      <c r="H227" t="s">
        <v>2272</v>
      </c>
      <c r="I227" t="s">
        <v>857</v>
      </c>
      <c r="J227" t="s">
        <v>2273</v>
      </c>
      <c r="K227" t="s">
        <v>2274</v>
      </c>
      <c r="L227" t="s">
        <v>2274</v>
      </c>
      <c r="M227">
        <v>514</v>
      </c>
      <c r="N227">
        <v>65</v>
      </c>
      <c r="O227">
        <v>8.8000000000000007</v>
      </c>
      <c r="P227" t="s">
        <v>2275</v>
      </c>
      <c r="Q227" t="s">
        <v>2276</v>
      </c>
      <c r="R227" t="s">
        <v>154</v>
      </c>
      <c r="S227">
        <v>150</v>
      </c>
      <c r="T227" t="s">
        <v>154</v>
      </c>
      <c r="U227" t="s">
        <v>32</v>
      </c>
      <c r="V227" t="s">
        <v>32</v>
      </c>
      <c r="W227" t="s">
        <v>32</v>
      </c>
    </row>
    <row r="228" spans="1:23" x14ac:dyDescent="0.2">
      <c r="A228" t="s">
        <v>2277</v>
      </c>
      <c r="B228" t="s">
        <v>2277</v>
      </c>
      <c r="C228">
        <v>192</v>
      </c>
      <c r="D228">
        <v>44</v>
      </c>
      <c r="E228" t="s">
        <v>2278</v>
      </c>
      <c r="F228" t="s">
        <v>2279</v>
      </c>
      <c r="G228" t="s">
        <v>2280</v>
      </c>
      <c r="H228" t="s">
        <v>2281</v>
      </c>
      <c r="I228" t="s">
        <v>2282</v>
      </c>
      <c r="J228" t="s">
        <v>2283</v>
      </c>
      <c r="K228" t="s">
        <v>2284</v>
      </c>
      <c r="L228" t="s">
        <v>2285</v>
      </c>
      <c r="M228">
        <v>351</v>
      </c>
      <c r="N228">
        <v>14</v>
      </c>
      <c r="O228">
        <v>1.2</v>
      </c>
      <c r="P228" t="s">
        <v>576</v>
      </c>
      <c r="Q228" t="s">
        <v>2286</v>
      </c>
      <c r="R228" t="s">
        <v>1789</v>
      </c>
      <c r="S228">
        <v>114</v>
      </c>
      <c r="T228" t="s">
        <v>2287</v>
      </c>
      <c r="U228" t="s">
        <v>32</v>
      </c>
      <c r="V228" t="s">
        <v>32</v>
      </c>
      <c r="W228" t="s">
        <v>32</v>
      </c>
    </row>
    <row r="229" spans="1:23" x14ac:dyDescent="0.2">
      <c r="A229" t="s">
        <v>2288</v>
      </c>
      <c r="B229" t="s">
        <v>2288</v>
      </c>
      <c r="C229">
        <v>33</v>
      </c>
      <c r="D229">
        <v>33</v>
      </c>
      <c r="E229" t="s">
        <v>2289</v>
      </c>
      <c r="F229" t="s">
        <v>2290</v>
      </c>
      <c r="G229" t="s">
        <v>2289</v>
      </c>
      <c r="H229" t="s">
        <v>2290</v>
      </c>
      <c r="I229" t="s">
        <v>2291</v>
      </c>
      <c r="J229" t="s">
        <v>2292</v>
      </c>
      <c r="K229" t="s">
        <v>2293</v>
      </c>
      <c r="L229" t="s">
        <v>2293</v>
      </c>
      <c r="M229">
        <v>0</v>
      </c>
      <c r="N229">
        <v>0</v>
      </c>
      <c r="O229">
        <v>0</v>
      </c>
      <c r="P229" t="s">
        <v>2294</v>
      </c>
      <c r="Q229" t="s">
        <v>30</v>
      </c>
      <c r="R229" t="s">
        <v>30</v>
      </c>
      <c r="S229">
        <v>165</v>
      </c>
      <c r="T229" t="s">
        <v>2295</v>
      </c>
      <c r="U229" t="s">
        <v>32</v>
      </c>
      <c r="V229" t="s">
        <v>32</v>
      </c>
      <c r="W229" t="s">
        <v>32</v>
      </c>
    </row>
    <row r="230" spans="1:23" x14ac:dyDescent="0.2">
      <c r="A230" t="s">
        <v>2296</v>
      </c>
      <c r="B230" t="s">
        <v>2297</v>
      </c>
      <c r="C230">
        <v>50</v>
      </c>
      <c r="D230">
        <v>50</v>
      </c>
      <c r="E230" t="s">
        <v>2298</v>
      </c>
      <c r="F230" t="s">
        <v>2299</v>
      </c>
      <c r="G230" t="s">
        <v>2298</v>
      </c>
      <c r="H230" t="s">
        <v>2299</v>
      </c>
      <c r="I230" t="s">
        <v>1314</v>
      </c>
      <c r="J230" t="s">
        <v>2300</v>
      </c>
      <c r="K230" t="s">
        <v>1905</v>
      </c>
      <c r="L230" t="s">
        <v>1905</v>
      </c>
      <c r="M230">
        <v>0</v>
      </c>
      <c r="N230">
        <v>0</v>
      </c>
      <c r="O230">
        <v>0</v>
      </c>
      <c r="P230" t="s">
        <v>2301</v>
      </c>
      <c r="Q230" t="s">
        <v>30</v>
      </c>
      <c r="R230" t="s">
        <v>30</v>
      </c>
      <c r="S230">
        <v>251</v>
      </c>
      <c r="T230" t="s">
        <v>154</v>
      </c>
      <c r="U230" t="s">
        <v>32</v>
      </c>
      <c r="V230" t="s">
        <v>32</v>
      </c>
      <c r="W230" t="s">
        <v>32</v>
      </c>
    </row>
    <row r="231" spans="1:23" x14ac:dyDescent="0.2">
      <c r="A231" t="s">
        <v>2302</v>
      </c>
      <c r="B231" t="s">
        <v>2302</v>
      </c>
      <c r="C231">
        <v>157</v>
      </c>
      <c r="D231">
        <v>19</v>
      </c>
      <c r="E231" t="s">
        <v>2303</v>
      </c>
      <c r="F231" t="s">
        <v>2304</v>
      </c>
      <c r="G231" t="s">
        <v>2305</v>
      </c>
      <c r="H231" t="s">
        <v>1946</v>
      </c>
      <c r="I231" t="s">
        <v>2061</v>
      </c>
      <c r="J231" t="s">
        <v>2306</v>
      </c>
      <c r="K231" t="s">
        <v>2307</v>
      </c>
      <c r="L231" t="s">
        <v>2308</v>
      </c>
      <c r="M231">
        <v>0</v>
      </c>
      <c r="N231">
        <v>0</v>
      </c>
      <c r="O231">
        <v>0</v>
      </c>
      <c r="P231" t="s">
        <v>1426</v>
      </c>
      <c r="Q231" t="s">
        <v>30</v>
      </c>
      <c r="R231" t="s">
        <v>30</v>
      </c>
      <c r="S231">
        <v>290</v>
      </c>
      <c r="T231" t="s">
        <v>2309</v>
      </c>
      <c r="U231" t="s">
        <v>32</v>
      </c>
      <c r="V231" t="s">
        <v>32</v>
      </c>
      <c r="W231" t="s">
        <v>32</v>
      </c>
    </row>
    <row r="232" spans="1:23" x14ac:dyDescent="0.2">
      <c r="A232" t="s">
        <v>2310</v>
      </c>
      <c r="B232" t="s">
        <v>2311</v>
      </c>
      <c r="C232">
        <v>158</v>
      </c>
      <c r="D232">
        <v>44</v>
      </c>
      <c r="E232" t="s">
        <v>2312</v>
      </c>
      <c r="F232" t="s">
        <v>2313</v>
      </c>
      <c r="G232" t="s">
        <v>2314</v>
      </c>
      <c r="H232" t="s">
        <v>2315</v>
      </c>
      <c r="I232" t="s">
        <v>2316</v>
      </c>
      <c r="J232" t="s">
        <v>2317</v>
      </c>
      <c r="K232" t="s">
        <v>2318</v>
      </c>
      <c r="L232" t="s">
        <v>2319</v>
      </c>
      <c r="M232">
        <v>417</v>
      </c>
      <c r="N232">
        <v>38</v>
      </c>
      <c r="O232">
        <v>3.33</v>
      </c>
      <c r="P232" t="s">
        <v>222</v>
      </c>
      <c r="Q232" t="s">
        <v>2320</v>
      </c>
      <c r="R232" t="s">
        <v>2321</v>
      </c>
      <c r="S232">
        <v>366</v>
      </c>
      <c r="T232" t="s">
        <v>2322</v>
      </c>
      <c r="U232" t="s">
        <v>32</v>
      </c>
      <c r="V232" t="s">
        <v>32</v>
      </c>
      <c r="W232" t="s">
        <v>32</v>
      </c>
    </row>
    <row r="233" spans="1:23" x14ac:dyDescent="0.2">
      <c r="A233" t="s">
        <v>2323</v>
      </c>
      <c r="B233" t="s">
        <v>2323</v>
      </c>
      <c r="C233">
        <v>1367</v>
      </c>
      <c r="D233">
        <v>64</v>
      </c>
      <c r="E233" t="s">
        <v>2324</v>
      </c>
      <c r="F233" t="s">
        <v>2325</v>
      </c>
      <c r="G233" t="s">
        <v>2326</v>
      </c>
      <c r="H233" t="s">
        <v>2327</v>
      </c>
      <c r="I233" t="s">
        <v>2328</v>
      </c>
      <c r="J233" t="s">
        <v>2329</v>
      </c>
      <c r="K233" t="s">
        <v>1275</v>
      </c>
      <c r="L233" t="s">
        <v>2330</v>
      </c>
      <c r="M233">
        <v>0</v>
      </c>
      <c r="N233">
        <v>0</v>
      </c>
      <c r="O233">
        <v>0</v>
      </c>
      <c r="P233" t="s">
        <v>2331</v>
      </c>
      <c r="Q233" t="s">
        <v>30</v>
      </c>
      <c r="R233" t="s">
        <v>30</v>
      </c>
      <c r="S233">
        <v>0</v>
      </c>
      <c r="T233" t="s">
        <v>30</v>
      </c>
      <c r="U233" t="s">
        <v>32</v>
      </c>
      <c r="V233" t="s">
        <v>32</v>
      </c>
      <c r="W233" t="s">
        <v>32</v>
      </c>
    </row>
    <row r="234" spans="1:23" x14ac:dyDescent="0.2">
      <c r="A234" t="s">
        <v>2332</v>
      </c>
      <c r="B234" t="s">
        <v>2333</v>
      </c>
      <c r="C234">
        <v>42</v>
      </c>
      <c r="D234">
        <v>42</v>
      </c>
      <c r="E234" t="s">
        <v>2334</v>
      </c>
      <c r="F234" t="s">
        <v>2335</v>
      </c>
      <c r="G234" t="s">
        <v>2334</v>
      </c>
      <c r="H234" t="s">
        <v>2335</v>
      </c>
      <c r="I234" t="s">
        <v>2336</v>
      </c>
      <c r="J234" t="s">
        <v>2337</v>
      </c>
      <c r="K234" t="s">
        <v>2338</v>
      </c>
      <c r="L234" t="s">
        <v>2338</v>
      </c>
      <c r="M234">
        <v>440</v>
      </c>
      <c r="N234">
        <v>3</v>
      </c>
      <c r="O234">
        <v>0.4</v>
      </c>
      <c r="P234" t="s">
        <v>2339</v>
      </c>
      <c r="Q234" t="s">
        <v>1674</v>
      </c>
      <c r="R234" t="s">
        <v>154</v>
      </c>
      <c r="S234">
        <v>175</v>
      </c>
      <c r="T234" t="s">
        <v>154</v>
      </c>
      <c r="U234" t="s">
        <v>32</v>
      </c>
      <c r="V234" t="s">
        <v>32</v>
      </c>
      <c r="W234" t="s">
        <v>32</v>
      </c>
    </row>
    <row r="235" spans="1:23" x14ac:dyDescent="0.2">
      <c r="A235" t="s">
        <v>2340</v>
      </c>
      <c r="B235" t="s">
        <v>2340</v>
      </c>
      <c r="C235">
        <v>2238</v>
      </c>
      <c r="D235">
        <v>65</v>
      </c>
      <c r="E235" t="s">
        <v>2341</v>
      </c>
      <c r="F235" t="s">
        <v>2342</v>
      </c>
      <c r="G235" t="s">
        <v>2343</v>
      </c>
      <c r="H235" t="s">
        <v>2344</v>
      </c>
      <c r="I235" t="s">
        <v>32</v>
      </c>
      <c r="J235" t="s">
        <v>2345</v>
      </c>
      <c r="K235" t="s">
        <v>200</v>
      </c>
      <c r="L235" t="s">
        <v>1424</v>
      </c>
      <c r="M235">
        <v>0</v>
      </c>
      <c r="N235">
        <v>0</v>
      </c>
      <c r="O235">
        <v>0</v>
      </c>
      <c r="P235" t="s">
        <v>2346</v>
      </c>
      <c r="Q235" t="s">
        <v>30</v>
      </c>
      <c r="R235" t="s">
        <v>30</v>
      </c>
      <c r="S235">
        <v>0</v>
      </c>
      <c r="T235" t="s">
        <v>30</v>
      </c>
      <c r="U235" t="s">
        <v>32</v>
      </c>
      <c r="V235" t="s">
        <v>32</v>
      </c>
      <c r="W235" t="s">
        <v>32</v>
      </c>
    </row>
    <row r="236" spans="1:23" x14ac:dyDescent="0.2">
      <c r="A236" t="s">
        <v>2347</v>
      </c>
      <c r="B236" t="s">
        <v>2348</v>
      </c>
      <c r="C236">
        <v>30</v>
      </c>
      <c r="D236">
        <v>30</v>
      </c>
      <c r="E236" t="s">
        <v>2349</v>
      </c>
      <c r="F236" t="s">
        <v>2350</v>
      </c>
      <c r="G236" t="s">
        <v>2349</v>
      </c>
      <c r="H236" t="s">
        <v>2350</v>
      </c>
      <c r="I236" t="s">
        <v>445</v>
      </c>
      <c r="J236" t="s">
        <v>2351</v>
      </c>
      <c r="K236" t="s">
        <v>2352</v>
      </c>
      <c r="L236" t="s">
        <v>2352</v>
      </c>
      <c r="M236">
        <v>493</v>
      </c>
      <c r="N236">
        <v>17</v>
      </c>
      <c r="O236">
        <v>3.52</v>
      </c>
      <c r="P236" t="s">
        <v>2353</v>
      </c>
      <c r="Q236" t="s">
        <v>2354</v>
      </c>
      <c r="R236" t="s">
        <v>154</v>
      </c>
      <c r="S236">
        <v>103</v>
      </c>
      <c r="T236" t="s">
        <v>154</v>
      </c>
      <c r="U236" t="s">
        <v>32</v>
      </c>
      <c r="V236" t="s">
        <v>32</v>
      </c>
      <c r="W236" t="s">
        <v>32</v>
      </c>
    </row>
    <row r="237" spans="1:23" x14ac:dyDescent="0.2">
      <c r="A237" t="s">
        <v>2355</v>
      </c>
      <c r="B237" t="s">
        <v>2355</v>
      </c>
      <c r="C237">
        <v>186</v>
      </c>
      <c r="D237">
        <v>21</v>
      </c>
      <c r="E237" t="s">
        <v>2356</v>
      </c>
      <c r="F237" t="s">
        <v>2357</v>
      </c>
      <c r="G237" t="s">
        <v>2358</v>
      </c>
      <c r="H237" t="s">
        <v>2359</v>
      </c>
      <c r="I237" t="s">
        <v>1256</v>
      </c>
      <c r="J237" t="s">
        <v>2360</v>
      </c>
      <c r="K237" t="s">
        <v>2361</v>
      </c>
      <c r="L237" t="s">
        <v>2362</v>
      </c>
      <c r="M237">
        <v>219</v>
      </c>
      <c r="N237">
        <v>5</v>
      </c>
      <c r="O237">
        <v>0.7</v>
      </c>
      <c r="P237" t="s">
        <v>53</v>
      </c>
      <c r="Q237" t="s">
        <v>1058</v>
      </c>
      <c r="R237" t="s">
        <v>2363</v>
      </c>
      <c r="S237">
        <v>282</v>
      </c>
      <c r="T237" t="s">
        <v>2364</v>
      </c>
      <c r="U237" t="s">
        <v>32</v>
      </c>
      <c r="V237" t="s">
        <v>32</v>
      </c>
      <c r="W237" t="s">
        <v>32</v>
      </c>
    </row>
    <row r="238" spans="1:23" x14ac:dyDescent="0.2">
      <c r="A238" t="s">
        <v>2365</v>
      </c>
      <c r="B238" t="s">
        <v>2365</v>
      </c>
      <c r="C238">
        <v>1879</v>
      </c>
      <c r="D238">
        <v>51</v>
      </c>
      <c r="E238" t="s">
        <v>2366</v>
      </c>
      <c r="F238" t="s">
        <v>2367</v>
      </c>
      <c r="G238" t="s">
        <v>2368</v>
      </c>
      <c r="H238" t="s">
        <v>2369</v>
      </c>
      <c r="I238" t="s">
        <v>32</v>
      </c>
      <c r="J238" t="s">
        <v>32</v>
      </c>
      <c r="K238" t="s">
        <v>30</v>
      </c>
      <c r="L238" t="s">
        <v>30</v>
      </c>
      <c r="M238">
        <v>0</v>
      </c>
      <c r="N238">
        <v>0</v>
      </c>
      <c r="O238">
        <v>0</v>
      </c>
      <c r="P238" t="s">
        <v>2370</v>
      </c>
      <c r="Q238" t="s">
        <v>30</v>
      </c>
      <c r="R238" t="s">
        <v>30</v>
      </c>
      <c r="S238">
        <v>0</v>
      </c>
      <c r="T238" t="s">
        <v>30</v>
      </c>
      <c r="U238" t="s">
        <v>32</v>
      </c>
      <c r="V238" t="s">
        <v>32</v>
      </c>
      <c r="W238" t="s">
        <v>32</v>
      </c>
    </row>
    <row r="239" spans="1:23" x14ac:dyDescent="0.2">
      <c r="A239" t="s">
        <v>2371</v>
      </c>
      <c r="B239" t="s">
        <v>2371</v>
      </c>
      <c r="C239">
        <v>106</v>
      </c>
      <c r="D239">
        <v>71</v>
      </c>
      <c r="E239" t="s">
        <v>2372</v>
      </c>
      <c r="F239" t="s">
        <v>2373</v>
      </c>
      <c r="G239" t="s">
        <v>2374</v>
      </c>
      <c r="H239" t="s">
        <v>2375</v>
      </c>
      <c r="I239" t="s">
        <v>2376</v>
      </c>
      <c r="J239" t="s">
        <v>2377</v>
      </c>
      <c r="K239" t="s">
        <v>2378</v>
      </c>
      <c r="L239" t="s">
        <v>2379</v>
      </c>
      <c r="M239">
        <v>0</v>
      </c>
      <c r="N239">
        <v>0</v>
      </c>
      <c r="O239">
        <v>0</v>
      </c>
      <c r="P239" t="s">
        <v>2380</v>
      </c>
      <c r="Q239" t="s">
        <v>30</v>
      </c>
      <c r="R239" t="s">
        <v>30</v>
      </c>
      <c r="S239">
        <v>336</v>
      </c>
      <c r="T239" t="s">
        <v>2381</v>
      </c>
      <c r="U239" t="s">
        <v>32</v>
      </c>
      <c r="V239" t="s">
        <v>32</v>
      </c>
      <c r="W239" t="s">
        <v>32</v>
      </c>
    </row>
    <row r="240" spans="1:23" x14ac:dyDescent="0.2">
      <c r="A240" t="s">
        <v>2382</v>
      </c>
      <c r="B240" t="s">
        <v>2383</v>
      </c>
      <c r="C240">
        <v>49</v>
      </c>
      <c r="D240">
        <v>49</v>
      </c>
      <c r="E240" t="s">
        <v>2384</v>
      </c>
      <c r="F240" t="s">
        <v>2385</v>
      </c>
      <c r="G240" t="s">
        <v>2384</v>
      </c>
      <c r="H240" t="s">
        <v>2385</v>
      </c>
      <c r="I240" t="s">
        <v>1730</v>
      </c>
      <c r="J240" t="s">
        <v>2386</v>
      </c>
      <c r="K240" t="s">
        <v>2387</v>
      </c>
      <c r="L240" t="s">
        <v>2387</v>
      </c>
      <c r="M240">
        <v>519</v>
      </c>
      <c r="N240">
        <v>3</v>
      </c>
      <c r="O240">
        <v>0.12</v>
      </c>
      <c r="P240" t="s">
        <v>2388</v>
      </c>
      <c r="Q240" t="s">
        <v>2389</v>
      </c>
      <c r="R240" t="s">
        <v>2390</v>
      </c>
      <c r="S240">
        <v>148</v>
      </c>
      <c r="T240" t="s">
        <v>2391</v>
      </c>
      <c r="U240" t="s">
        <v>32</v>
      </c>
      <c r="V240" t="s">
        <v>32</v>
      </c>
      <c r="W240" t="s">
        <v>32</v>
      </c>
    </row>
    <row r="241" spans="1:23" x14ac:dyDescent="0.2">
      <c r="A241" t="s">
        <v>2392</v>
      </c>
      <c r="B241" t="s">
        <v>2393</v>
      </c>
      <c r="C241">
        <v>147</v>
      </c>
      <c r="D241">
        <v>83</v>
      </c>
      <c r="E241" t="s">
        <v>2394</v>
      </c>
      <c r="F241" t="s">
        <v>2395</v>
      </c>
      <c r="G241" t="s">
        <v>2396</v>
      </c>
      <c r="H241" t="s">
        <v>2397</v>
      </c>
      <c r="I241" t="s">
        <v>2398</v>
      </c>
      <c r="J241" t="s">
        <v>2399</v>
      </c>
      <c r="K241" t="s">
        <v>2400</v>
      </c>
      <c r="L241" t="s">
        <v>2401</v>
      </c>
      <c r="M241">
        <v>912</v>
      </c>
      <c r="N241">
        <v>34</v>
      </c>
      <c r="O241">
        <v>2.2999999999999998</v>
      </c>
      <c r="P241" t="s">
        <v>1939</v>
      </c>
      <c r="Q241" t="s">
        <v>2402</v>
      </c>
      <c r="R241" t="s">
        <v>2403</v>
      </c>
      <c r="S241">
        <v>417</v>
      </c>
      <c r="T241" t="s">
        <v>2403</v>
      </c>
      <c r="U241" t="s">
        <v>32</v>
      </c>
      <c r="V241" t="s">
        <v>32</v>
      </c>
      <c r="W241" t="s">
        <v>32</v>
      </c>
    </row>
    <row r="242" spans="1:23" x14ac:dyDescent="0.2">
      <c r="A242" t="s">
        <v>2404</v>
      </c>
      <c r="B242" t="s">
        <v>2404</v>
      </c>
      <c r="C242">
        <v>2233</v>
      </c>
      <c r="D242">
        <v>65</v>
      </c>
      <c r="E242" t="s">
        <v>2405</v>
      </c>
      <c r="F242" t="s">
        <v>2406</v>
      </c>
      <c r="G242" t="s">
        <v>2407</v>
      </c>
      <c r="H242" t="s">
        <v>2408</v>
      </c>
      <c r="I242" t="s">
        <v>2409</v>
      </c>
      <c r="J242" t="s">
        <v>2410</v>
      </c>
      <c r="K242" t="s">
        <v>200</v>
      </c>
      <c r="L242" t="s">
        <v>2411</v>
      </c>
      <c r="M242">
        <v>0</v>
      </c>
      <c r="N242">
        <v>0</v>
      </c>
      <c r="O242">
        <v>0</v>
      </c>
      <c r="P242" t="s">
        <v>2412</v>
      </c>
      <c r="Q242" t="s">
        <v>30</v>
      </c>
      <c r="R242" t="s">
        <v>30</v>
      </c>
      <c r="S242">
        <v>0</v>
      </c>
      <c r="T242" t="s">
        <v>30</v>
      </c>
      <c r="U242" t="s">
        <v>32</v>
      </c>
      <c r="V242" t="s">
        <v>32</v>
      </c>
      <c r="W242" t="s">
        <v>32</v>
      </c>
    </row>
    <row r="243" spans="1:23" x14ac:dyDescent="0.2">
      <c r="A243" t="s">
        <v>2413</v>
      </c>
      <c r="B243" t="s">
        <v>2413</v>
      </c>
      <c r="C243">
        <v>1799</v>
      </c>
      <c r="D243">
        <v>65</v>
      </c>
      <c r="E243" t="s">
        <v>2414</v>
      </c>
      <c r="F243" t="s">
        <v>2415</v>
      </c>
      <c r="G243" t="s">
        <v>2416</v>
      </c>
      <c r="H243" t="s">
        <v>2417</v>
      </c>
      <c r="I243" t="s">
        <v>32</v>
      </c>
      <c r="J243" t="s">
        <v>2418</v>
      </c>
      <c r="K243" t="s">
        <v>327</v>
      </c>
      <c r="L243" t="s">
        <v>2419</v>
      </c>
      <c r="M243">
        <v>0</v>
      </c>
      <c r="N243">
        <v>0</v>
      </c>
      <c r="O243">
        <v>0</v>
      </c>
      <c r="P243" t="s">
        <v>2420</v>
      </c>
      <c r="Q243" t="s">
        <v>30</v>
      </c>
      <c r="R243" t="s">
        <v>30</v>
      </c>
      <c r="S243">
        <v>0</v>
      </c>
      <c r="T243" t="s">
        <v>30</v>
      </c>
      <c r="U243" t="s">
        <v>32</v>
      </c>
      <c r="V243" t="s">
        <v>32</v>
      </c>
      <c r="W243" t="s">
        <v>32</v>
      </c>
    </row>
    <row r="244" spans="1:23" x14ac:dyDescent="0.2">
      <c r="A244" t="s">
        <v>2421</v>
      </c>
      <c r="B244" t="s">
        <v>2422</v>
      </c>
      <c r="C244">
        <v>91</v>
      </c>
      <c r="D244">
        <v>44</v>
      </c>
      <c r="E244" t="s">
        <v>2423</v>
      </c>
      <c r="F244" t="s">
        <v>2424</v>
      </c>
      <c r="G244" t="s">
        <v>2425</v>
      </c>
      <c r="H244" t="s">
        <v>2426</v>
      </c>
      <c r="I244" t="s">
        <v>2427</v>
      </c>
      <c r="J244" t="s">
        <v>2428</v>
      </c>
      <c r="K244" t="s">
        <v>328</v>
      </c>
      <c r="L244" t="s">
        <v>2429</v>
      </c>
      <c r="M244">
        <v>0</v>
      </c>
      <c r="N244">
        <v>0</v>
      </c>
      <c r="O244">
        <v>0</v>
      </c>
      <c r="P244" t="s">
        <v>2430</v>
      </c>
      <c r="Q244" t="s">
        <v>30</v>
      </c>
      <c r="R244" t="s">
        <v>30</v>
      </c>
      <c r="S244">
        <v>126</v>
      </c>
      <c r="T244" t="s">
        <v>1545</v>
      </c>
      <c r="U244" t="s">
        <v>32</v>
      </c>
      <c r="V244" t="s">
        <v>32</v>
      </c>
      <c r="W244" t="s">
        <v>32</v>
      </c>
    </row>
    <row r="245" spans="1:23" x14ac:dyDescent="0.2">
      <c r="A245" t="s">
        <v>2431</v>
      </c>
      <c r="B245" t="s">
        <v>2431</v>
      </c>
      <c r="C245">
        <v>1876</v>
      </c>
      <c r="D245">
        <v>51</v>
      </c>
      <c r="E245" t="s">
        <v>2432</v>
      </c>
      <c r="F245" t="s">
        <v>2433</v>
      </c>
      <c r="G245" t="s">
        <v>2434</v>
      </c>
      <c r="H245" t="s">
        <v>2435</v>
      </c>
      <c r="I245" t="s">
        <v>32</v>
      </c>
      <c r="J245" t="s">
        <v>2436</v>
      </c>
      <c r="K245" t="s">
        <v>30</v>
      </c>
      <c r="L245" t="s">
        <v>191</v>
      </c>
      <c r="M245">
        <v>0</v>
      </c>
      <c r="N245">
        <v>0</v>
      </c>
      <c r="O245">
        <v>0</v>
      </c>
      <c r="P245" t="s">
        <v>912</v>
      </c>
      <c r="Q245" t="s">
        <v>30</v>
      </c>
      <c r="R245" t="s">
        <v>30</v>
      </c>
      <c r="S245">
        <v>0</v>
      </c>
      <c r="T245" t="s">
        <v>30</v>
      </c>
      <c r="U245" t="s">
        <v>32</v>
      </c>
      <c r="V245" t="s">
        <v>32</v>
      </c>
      <c r="W245" t="s">
        <v>32</v>
      </c>
    </row>
    <row r="246" spans="1:23" x14ac:dyDescent="0.2">
      <c r="A246" t="s">
        <v>2437</v>
      </c>
      <c r="B246" t="s">
        <v>2437</v>
      </c>
      <c r="C246">
        <v>145</v>
      </c>
      <c r="D246">
        <v>74</v>
      </c>
      <c r="E246" t="s">
        <v>2438</v>
      </c>
      <c r="F246" t="s">
        <v>2439</v>
      </c>
      <c r="G246" t="s">
        <v>2440</v>
      </c>
      <c r="H246" t="s">
        <v>2441</v>
      </c>
      <c r="I246" t="s">
        <v>2442</v>
      </c>
      <c r="J246" t="s">
        <v>2443</v>
      </c>
      <c r="K246" t="s">
        <v>2444</v>
      </c>
      <c r="L246" t="s">
        <v>2445</v>
      </c>
      <c r="M246">
        <v>0</v>
      </c>
      <c r="N246">
        <v>0</v>
      </c>
      <c r="O246">
        <v>0</v>
      </c>
      <c r="P246" t="s">
        <v>2446</v>
      </c>
      <c r="Q246" t="s">
        <v>30</v>
      </c>
      <c r="R246" t="s">
        <v>30</v>
      </c>
      <c r="S246">
        <v>530</v>
      </c>
      <c r="T246" t="s">
        <v>2447</v>
      </c>
      <c r="U246" t="s">
        <v>32</v>
      </c>
      <c r="V246" t="s">
        <v>32</v>
      </c>
      <c r="W246" t="s">
        <v>32</v>
      </c>
    </row>
    <row r="247" spans="1:23" x14ac:dyDescent="0.2">
      <c r="A247" t="s">
        <v>2448</v>
      </c>
      <c r="B247" t="s">
        <v>2448</v>
      </c>
      <c r="C247">
        <v>1030</v>
      </c>
      <c r="D247">
        <v>64</v>
      </c>
      <c r="E247" t="s">
        <v>2449</v>
      </c>
      <c r="F247" t="s">
        <v>2450</v>
      </c>
      <c r="G247" t="s">
        <v>2451</v>
      </c>
      <c r="H247" t="s">
        <v>2452</v>
      </c>
      <c r="I247" t="s">
        <v>32</v>
      </c>
      <c r="J247" t="s">
        <v>32</v>
      </c>
      <c r="K247" t="s">
        <v>30</v>
      </c>
      <c r="L247" t="s">
        <v>30</v>
      </c>
      <c r="M247">
        <v>0</v>
      </c>
      <c r="N247">
        <v>0</v>
      </c>
      <c r="O247">
        <v>0</v>
      </c>
      <c r="P247" t="s">
        <v>2453</v>
      </c>
      <c r="Q247" t="s">
        <v>30</v>
      </c>
      <c r="R247" t="s">
        <v>30</v>
      </c>
      <c r="S247">
        <v>0</v>
      </c>
      <c r="T247" t="s">
        <v>30</v>
      </c>
      <c r="U247" t="s">
        <v>32</v>
      </c>
      <c r="V247" t="s">
        <v>32</v>
      </c>
      <c r="W247" t="s">
        <v>32</v>
      </c>
    </row>
    <row r="248" spans="1:23" x14ac:dyDescent="0.2">
      <c r="A248" t="s">
        <v>2454</v>
      </c>
      <c r="B248" t="s">
        <v>2454</v>
      </c>
      <c r="C248">
        <v>117</v>
      </c>
      <c r="D248">
        <v>30</v>
      </c>
      <c r="E248" t="s">
        <v>2455</v>
      </c>
      <c r="F248" t="s">
        <v>2456</v>
      </c>
      <c r="G248" t="s">
        <v>2457</v>
      </c>
      <c r="H248" t="s">
        <v>2458</v>
      </c>
      <c r="I248" t="s">
        <v>2459</v>
      </c>
      <c r="J248" t="s">
        <v>2460</v>
      </c>
      <c r="K248" t="s">
        <v>2461</v>
      </c>
      <c r="L248" t="s">
        <v>2462</v>
      </c>
      <c r="M248">
        <v>0</v>
      </c>
      <c r="N248">
        <v>0</v>
      </c>
      <c r="O248">
        <v>0</v>
      </c>
      <c r="P248" t="s">
        <v>1750</v>
      </c>
      <c r="Q248" t="s">
        <v>30</v>
      </c>
      <c r="R248" t="s">
        <v>30</v>
      </c>
      <c r="S248">
        <v>86</v>
      </c>
      <c r="T248" t="s">
        <v>2463</v>
      </c>
      <c r="U248" t="s">
        <v>32</v>
      </c>
      <c r="V248" t="s">
        <v>32</v>
      </c>
      <c r="W248" t="s">
        <v>32</v>
      </c>
    </row>
    <row r="249" spans="1:23" x14ac:dyDescent="0.2">
      <c r="A249" t="s">
        <v>2464</v>
      </c>
      <c r="B249" t="s">
        <v>2464</v>
      </c>
      <c r="C249">
        <v>119</v>
      </c>
      <c r="D249">
        <v>72</v>
      </c>
      <c r="E249" t="s">
        <v>2465</v>
      </c>
      <c r="F249" t="s">
        <v>2466</v>
      </c>
      <c r="G249" t="s">
        <v>2467</v>
      </c>
      <c r="H249" t="s">
        <v>2468</v>
      </c>
      <c r="I249" t="s">
        <v>841</v>
      </c>
      <c r="J249" t="s">
        <v>2469</v>
      </c>
      <c r="K249" t="s">
        <v>152</v>
      </c>
      <c r="L249" t="s">
        <v>2470</v>
      </c>
      <c r="M249">
        <v>0</v>
      </c>
      <c r="N249">
        <v>0</v>
      </c>
      <c r="O249">
        <v>0</v>
      </c>
      <c r="P249" t="s">
        <v>2471</v>
      </c>
      <c r="Q249" t="s">
        <v>30</v>
      </c>
      <c r="R249" t="s">
        <v>30</v>
      </c>
      <c r="S249">
        <v>454</v>
      </c>
      <c r="T249" t="s">
        <v>2472</v>
      </c>
      <c r="U249" t="s">
        <v>474</v>
      </c>
      <c r="V249" t="s">
        <v>32</v>
      </c>
      <c r="W249" t="s">
        <v>32</v>
      </c>
    </row>
    <row r="250" spans="1:23" x14ac:dyDescent="0.2">
      <c r="A250" t="s">
        <v>2473</v>
      </c>
      <c r="B250" t="s">
        <v>2474</v>
      </c>
      <c r="C250">
        <v>1348</v>
      </c>
      <c r="D250">
        <v>63</v>
      </c>
      <c r="E250" t="s">
        <v>2475</v>
      </c>
      <c r="F250" t="s">
        <v>2476</v>
      </c>
      <c r="G250" t="s">
        <v>2477</v>
      </c>
      <c r="H250" t="s">
        <v>2478</v>
      </c>
      <c r="I250" t="s">
        <v>32</v>
      </c>
      <c r="J250" t="s">
        <v>2479</v>
      </c>
      <c r="K250" t="s">
        <v>893</v>
      </c>
      <c r="L250" t="s">
        <v>2480</v>
      </c>
      <c r="M250">
        <v>555</v>
      </c>
      <c r="N250">
        <v>1</v>
      </c>
      <c r="O250">
        <v>0.02</v>
      </c>
      <c r="P250" t="s">
        <v>2188</v>
      </c>
      <c r="Q250" t="s">
        <v>2481</v>
      </c>
      <c r="R250" t="s">
        <v>2482</v>
      </c>
      <c r="S250">
        <v>0</v>
      </c>
      <c r="T250" t="s">
        <v>30</v>
      </c>
      <c r="U250" t="s">
        <v>32</v>
      </c>
      <c r="V250" t="s">
        <v>32</v>
      </c>
      <c r="W250" t="s">
        <v>32</v>
      </c>
    </row>
    <row r="251" spans="1:23" x14ac:dyDescent="0.2">
      <c r="A251" t="s">
        <v>2483</v>
      </c>
      <c r="B251" t="s">
        <v>2484</v>
      </c>
      <c r="C251">
        <v>148</v>
      </c>
      <c r="D251">
        <v>80</v>
      </c>
      <c r="E251" t="s">
        <v>2485</v>
      </c>
      <c r="F251" t="s">
        <v>2486</v>
      </c>
      <c r="G251" t="s">
        <v>2487</v>
      </c>
      <c r="H251" t="s">
        <v>2488</v>
      </c>
      <c r="I251" t="s">
        <v>2489</v>
      </c>
      <c r="J251" t="s">
        <v>2490</v>
      </c>
      <c r="K251" t="s">
        <v>2491</v>
      </c>
      <c r="L251" t="s">
        <v>63</v>
      </c>
      <c r="M251">
        <v>944</v>
      </c>
      <c r="N251">
        <v>7</v>
      </c>
      <c r="O251">
        <v>11.18</v>
      </c>
      <c r="P251" t="s">
        <v>2492</v>
      </c>
      <c r="Q251" t="s">
        <v>2493</v>
      </c>
      <c r="R251" t="s">
        <v>2494</v>
      </c>
      <c r="S251">
        <v>460</v>
      </c>
      <c r="T251" t="s">
        <v>2495</v>
      </c>
      <c r="U251" t="s">
        <v>32</v>
      </c>
      <c r="V251" t="s">
        <v>32</v>
      </c>
      <c r="W251" t="s">
        <v>32</v>
      </c>
    </row>
    <row r="252" spans="1:23" x14ac:dyDescent="0.2">
      <c r="A252" t="s">
        <v>2496</v>
      </c>
      <c r="B252" t="s">
        <v>2496</v>
      </c>
      <c r="C252">
        <v>125</v>
      </c>
      <c r="D252">
        <v>72</v>
      </c>
      <c r="E252" t="s">
        <v>2497</v>
      </c>
      <c r="F252" t="s">
        <v>2498</v>
      </c>
      <c r="G252" t="s">
        <v>2499</v>
      </c>
      <c r="H252" t="s">
        <v>2500</v>
      </c>
      <c r="I252" t="s">
        <v>2037</v>
      </c>
      <c r="J252" t="s">
        <v>2501</v>
      </c>
      <c r="K252" t="s">
        <v>2502</v>
      </c>
      <c r="L252" t="s">
        <v>2503</v>
      </c>
      <c r="M252">
        <v>0</v>
      </c>
      <c r="N252">
        <v>0</v>
      </c>
      <c r="O252">
        <v>0</v>
      </c>
      <c r="P252" t="s">
        <v>2504</v>
      </c>
      <c r="Q252" t="s">
        <v>30</v>
      </c>
      <c r="R252" t="s">
        <v>30</v>
      </c>
      <c r="S252">
        <v>298</v>
      </c>
      <c r="T252" t="s">
        <v>2505</v>
      </c>
      <c r="U252" t="s">
        <v>32</v>
      </c>
      <c r="V252" t="s">
        <v>32</v>
      </c>
      <c r="W252" t="s">
        <v>32</v>
      </c>
    </row>
    <row r="253" spans="1:23" x14ac:dyDescent="0.2">
      <c r="A253" t="s">
        <v>2506</v>
      </c>
      <c r="B253" t="s">
        <v>2506</v>
      </c>
      <c r="C253">
        <v>163</v>
      </c>
      <c r="D253">
        <v>72</v>
      </c>
      <c r="E253" t="s">
        <v>2507</v>
      </c>
      <c r="F253" t="s">
        <v>2508</v>
      </c>
      <c r="G253" t="s">
        <v>2509</v>
      </c>
      <c r="H253" t="s">
        <v>2510</v>
      </c>
      <c r="I253" t="s">
        <v>2511</v>
      </c>
      <c r="J253" t="s">
        <v>2512</v>
      </c>
      <c r="K253" t="s">
        <v>2513</v>
      </c>
      <c r="L253" t="s">
        <v>2514</v>
      </c>
      <c r="M253">
        <v>956</v>
      </c>
      <c r="N253">
        <v>116</v>
      </c>
      <c r="O253">
        <v>15.12</v>
      </c>
      <c r="P253" t="s">
        <v>2515</v>
      </c>
      <c r="Q253" t="s">
        <v>288</v>
      </c>
      <c r="R253" t="s">
        <v>2516</v>
      </c>
      <c r="S253">
        <v>790</v>
      </c>
      <c r="T253" t="s">
        <v>2517</v>
      </c>
      <c r="U253" t="s">
        <v>32</v>
      </c>
      <c r="V253" t="s">
        <v>32</v>
      </c>
      <c r="W253" t="s">
        <v>32</v>
      </c>
    </row>
    <row r="254" spans="1:23" x14ac:dyDescent="0.2">
      <c r="A254" t="s">
        <v>2518</v>
      </c>
      <c r="B254" t="s">
        <v>2519</v>
      </c>
      <c r="C254">
        <v>42</v>
      </c>
      <c r="D254">
        <v>42</v>
      </c>
      <c r="E254" t="s">
        <v>2520</v>
      </c>
      <c r="F254" t="s">
        <v>2521</v>
      </c>
      <c r="G254" t="s">
        <v>2520</v>
      </c>
      <c r="H254" t="s">
        <v>2521</v>
      </c>
      <c r="I254" t="s">
        <v>766</v>
      </c>
      <c r="J254" t="s">
        <v>2522</v>
      </c>
      <c r="K254" t="s">
        <v>2523</v>
      </c>
      <c r="L254" t="s">
        <v>2523</v>
      </c>
      <c r="M254">
        <v>465</v>
      </c>
      <c r="N254">
        <v>35</v>
      </c>
      <c r="O254">
        <v>8.9</v>
      </c>
      <c r="P254" t="s">
        <v>2524</v>
      </c>
      <c r="Q254" t="s">
        <v>2525</v>
      </c>
      <c r="R254" t="s">
        <v>2526</v>
      </c>
      <c r="S254">
        <v>173</v>
      </c>
      <c r="T254" t="s">
        <v>2526</v>
      </c>
      <c r="U254" t="s">
        <v>32</v>
      </c>
      <c r="V254" t="s">
        <v>32</v>
      </c>
      <c r="W254" t="s">
        <v>32</v>
      </c>
    </row>
    <row r="255" spans="1:23" x14ac:dyDescent="0.2">
      <c r="A255" t="s">
        <v>2527</v>
      </c>
      <c r="B255" t="s">
        <v>2527</v>
      </c>
      <c r="C255">
        <v>135279</v>
      </c>
      <c r="D255">
        <v>2485</v>
      </c>
      <c r="E255" t="s">
        <v>2528</v>
      </c>
      <c r="F255" t="s">
        <v>2529</v>
      </c>
      <c r="G255" t="s">
        <v>2530</v>
      </c>
      <c r="H255" t="s">
        <v>2531</v>
      </c>
      <c r="I255" t="s">
        <v>2532</v>
      </c>
      <c r="J255" t="s">
        <v>2533</v>
      </c>
      <c r="K255" t="s">
        <v>30</v>
      </c>
      <c r="L255" t="s">
        <v>1613</v>
      </c>
      <c r="M255">
        <v>0</v>
      </c>
      <c r="N255">
        <v>0</v>
      </c>
      <c r="O255">
        <v>0</v>
      </c>
      <c r="P255" t="s">
        <v>2534</v>
      </c>
      <c r="Q255" t="s">
        <v>30</v>
      </c>
      <c r="R255" t="s">
        <v>30</v>
      </c>
      <c r="S255">
        <v>0</v>
      </c>
      <c r="T255" t="s">
        <v>30</v>
      </c>
      <c r="U255" t="s">
        <v>32</v>
      </c>
      <c r="V255" t="s">
        <v>32</v>
      </c>
      <c r="W255" t="s">
        <v>32</v>
      </c>
    </row>
    <row r="256" spans="1:23" x14ac:dyDescent="0.2">
      <c r="A256" t="s">
        <v>2535</v>
      </c>
      <c r="B256" t="s">
        <v>2536</v>
      </c>
      <c r="C256">
        <v>207</v>
      </c>
      <c r="D256">
        <v>25</v>
      </c>
      <c r="E256" t="s">
        <v>2537</v>
      </c>
      <c r="F256" t="s">
        <v>2538</v>
      </c>
      <c r="G256" t="s">
        <v>2539</v>
      </c>
      <c r="H256" t="s">
        <v>2540</v>
      </c>
      <c r="I256" t="s">
        <v>720</v>
      </c>
      <c r="J256" t="s">
        <v>2541</v>
      </c>
      <c r="K256" t="s">
        <v>538</v>
      </c>
      <c r="L256" t="s">
        <v>2542</v>
      </c>
      <c r="M256">
        <v>211</v>
      </c>
      <c r="N256">
        <v>0</v>
      </c>
      <c r="O256">
        <v>0</v>
      </c>
      <c r="P256" t="s">
        <v>1317</v>
      </c>
      <c r="Q256" t="s">
        <v>30</v>
      </c>
      <c r="R256" t="s">
        <v>2543</v>
      </c>
      <c r="S256">
        <v>107</v>
      </c>
      <c r="T256" t="s">
        <v>2544</v>
      </c>
      <c r="U256" t="s">
        <v>32</v>
      </c>
      <c r="V256" t="s">
        <v>32</v>
      </c>
      <c r="W256" t="s">
        <v>32</v>
      </c>
    </row>
    <row r="257" spans="1:23" x14ac:dyDescent="0.2">
      <c r="A257" t="s">
        <v>2545</v>
      </c>
      <c r="B257" t="s">
        <v>2545</v>
      </c>
      <c r="C257">
        <v>69</v>
      </c>
      <c r="D257">
        <v>32</v>
      </c>
      <c r="E257" t="s">
        <v>2546</v>
      </c>
      <c r="F257" t="s">
        <v>2547</v>
      </c>
      <c r="G257" t="s">
        <v>2548</v>
      </c>
      <c r="H257" t="s">
        <v>1755</v>
      </c>
      <c r="I257" t="s">
        <v>2549</v>
      </c>
      <c r="J257" t="s">
        <v>2550</v>
      </c>
      <c r="K257" t="s">
        <v>2551</v>
      </c>
      <c r="L257" t="s">
        <v>2552</v>
      </c>
      <c r="M257">
        <v>461</v>
      </c>
      <c r="N257">
        <v>71</v>
      </c>
      <c r="O257">
        <v>7.07</v>
      </c>
      <c r="P257" t="s">
        <v>2553</v>
      </c>
      <c r="Q257" t="s">
        <v>2554</v>
      </c>
      <c r="R257" t="s">
        <v>2555</v>
      </c>
      <c r="S257">
        <v>175</v>
      </c>
      <c r="T257" t="s">
        <v>999</v>
      </c>
      <c r="U257" t="s">
        <v>84</v>
      </c>
      <c r="V257" t="s">
        <v>32</v>
      </c>
      <c r="W257" t="s">
        <v>32</v>
      </c>
    </row>
    <row r="258" spans="1:23" x14ac:dyDescent="0.2">
      <c r="A258" t="s">
        <v>2556</v>
      </c>
      <c r="B258" t="s">
        <v>2557</v>
      </c>
      <c r="C258">
        <v>98</v>
      </c>
      <c r="D258">
        <v>43</v>
      </c>
      <c r="E258" t="s">
        <v>2558</v>
      </c>
      <c r="F258" t="s">
        <v>2559</v>
      </c>
      <c r="G258" t="s">
        <v>2560</v>
      </c>
      <c r="H258" t="s">
        <v>971</v>
      </c>
      <c r="I258" t="s">
        <v>1007</v>
      </c>
      <c r="J258" t="s">
        <v>2561</v>
      </c>
      <c r="K258" t="s">
        <v>2562</v>
      </c>
      <c r="L258" t="s">
        <v>2563</v>
      </c>
      <c r="M258">
        <v>306</v>
      </c>
      <c r="N258">
        <v>41</v>
      </c>
      <c r="O258">
        <v>2.88</v>
      </c>
      <c r="P258" t="s">
        <v>2564</v>
      </c>
      <c r="Q258" t="s">
        <v>2565</v>
      </c>
      <c r="R258" t="s">
        <v>2566</v>
      </c>
      <c r="S258">
        <v>230</v>
      </c>
      <c r="T258" t="s">
        <v>2566</v>
      </c>
      <c r="U258" t="s">
        <v>32</v>
      </c>
      <c r="V258" t="s">
        <v>32</v>
      </c>
      <c r="W258" t="s">
        <v>32</v>
      </c>
    </row>
    <row r="259" spans="1:23" x14ac:dyDescent="0.2">
      <c r="A259" t="s">
        <v>2567</v>
      </c>
      <c r="B259" t="s">
        <v>2567</v>
      </c>
      <c r="C259">
        <v>172</v>
      </c>
      <c r="D259">
        <v>26</v>
      </c>
      <c r="E259" t="s">
        <v>2568</v>
      </c>
      <c r="F259" t="s">
        <v>2569</v>
      </c>
      <c r="G259" t="s">
        <v>2570</v>
      </c>
      <c r="H259" t="s">
        <v>2571</v>
      </c>
      <c r="I259" t="s">
        <v>2572</v>
      </c>
      <c r="J259" t="s">
        <v>2573</v>
      </c>
      <c r="K259" t="s">
        <v>2574</v>
      </c>
      <c r="L259" t="s">
        <v>2575</v>
      </c>
      <c r="M259">
        <v>0</v>
      </c>
      <c r="N259">
        <v>0</v>
      </c>
      <c r="O259">
        <v>0</v>
      </c>
      <c r="P259" t="s">
        <v>2576</v>
      </c>
      <c r="Q259" t="s">
        <v>30</v>
      </c>
      <c r="R259" t="s">
        <v>30</v>
      </c>
      <c r="S259">
        <v>98</v>
      </c>
      <c r="T259" t="s">
        <v>2577</v>
      </c>
      <c r="U259" t="s">
        <v>32</v>
      </c>
      <c r="V259" t="s">
        <v>32</v>
      </c>
      <c r="W259" t="s">
        <v>32</v>
      </c>
    </row>
    <row r="260" spans="1:23" x14ac:dyDescent="0.2">
      <c r="A260" t="s">
        <v>2578</v>
      </c>
      <c r="B260" t="s">
        <v>2578</v>
      </c>
      <c r="C260">
        <v>222</v>
      </c>
      <c r="D260">
        <v>45</v>
      </c>
      <c r="E260" t="s">
        <v>2579</v>
      </c>
      <c r="F260" t="s">
        <v>2580</v>
      </c>
      <c r="G260" t="s">
        <v>2581</v>
      </c>
      <c r="H260" t="s">
        <v>2582</v>
      </c>
      <c r="I260" t="s">
        <v>2583</v>
      </c>
      <c r="J260" t="s">
        <v>2584</v>
      </c>
      <c r="K260" t="s">
        <v>2585</v>
      </c>
      <c r="L260" t="s">
        <v>2586</v>
      </c>
      <c r="M260">
        <v>0</v>
      </c>
      <c r="N260">
        <v>0</v>
      </c>
      <c r="O260">
        <v>0</v>
      </c>
      <c r="P260" t="s">
        <v>2587</v>
      </c>
      <c r="Q260" t="s">
        <v>30</v>
      </c>
      <c r="R260" t="s">
        <v>30</v>
      </c>
      <c r="S260">
        <v>717</v>
      </c>
      <c r="T260" t="s">
        <v>2588</v>
      </c>
      <c r="U260" t="s">
        <v>32</v>
      </c>
      <c r="V260" t="s">
        <v>32</v>
      </c>
      <c r="W260" t="s">
        <v>32</v>
      </c>
    </row>
    <row r="261" spans="1:23" x14ac:dyDescent="0.2">
      <c r="A261" t="s">
        <v>2589</v>
      </c>
      <c r="B261" t="s">
        <v>2589</v>
      </c>
      <c r="C261">
        <v>34</v>
      </c>
      <c r="D261">
        <v>34</v>
      </c>
      <c r="E261" t="s">
        <v>2590</v>
      </c>
      <c r="F261" t="s">
        <v>2591</v>
      </c>
      <c r="G261" t="s">
        <v>2590</v>
      </c>
      <c r="H261" t="s">
        <v>2591</v>
      </c>
      <c r="I261" t="s">
        <v>2592</v>
      </c>
      <c r="J261" t="s">
        <v>2593</v>
      </c>
      <c r="K261" t="s">
        <v>2594</v>
      </c>
      <c r="L261" t="s">
        <v>2594</v>
      </c>
      <c r="M261">
        <v>0</v>
      </c>
      <c r="N261">
        <v>0</v>
      </c>
      <c r="O261">
        <v>0</v>
      </c>
      <c r="P261" t="s">
        <v>643</v>
      </c>
      <c r="Q261" t="s">
        <v>30</v>
      </c>
      <c r="R261" t="s">
        <v>30</v>
      </c>
      <c r="S261">
        <v>144</v>
      </c>
      <c r="T261" t="s">
        <v>154</v>
      </c>
      <c r="U261" t="s">
        <v>32</v>
      </c>
      <c r="V261" t="s">
        <v>32</v>
      </c>
      <c r="W261" t="s">
        <v>32</v>
      </c>
    </row>
    <row r="262" spans="1:23" x14ac:dyDescent="0.2">
      <c r="A262" t="s">
        <v>2595</v>
      </c>
      <c r="B262" t="s">
        <v>2595</v>
      </c>
      <c r="C262">
        <v>1865</v>
      </c>
      <c r="D262">
        <v>52</v>
      </c>
      <c r="E262" t="s">
        <v>2596</v>
      </c>
      <c r="F262" t="s">
        <v>2597</v>
      </c>
      <c r="G262" t="s">
        <v>2598</v>
      </c>
      <c r="H262" t="s">
        <v>2599</v>
      </c>
      <c r="I262" t="s">
        <v>32</v>
      </c>
      <c r="J262" t="s">
        <v>32</v>
      </c>
      <c r="K262" t="s">
        <v>30</v>
      </c>
      <c r="L262" t="s">
        <v>30</v>
      </c>
      <c r="M262">
        <v>0</v>
      </c>
      <c r="N262">
        <v>0</v>
      </c>
      <c r="O262">
        <v>0</v>
      </c>
      <c r="P262" t="s">
        <v>2600</v>
      </c>
      <c r="Q262" t="s">
        <v>30</v>
      </c>
      <c r="R262" t="s">
        <v>30</v>
      </c>
      <c r="S262">
        <v>0</v>
      </c>
      <c r="T262" t="s">
        <v>30</v>
      </c>
      <c r="U262" t="s">
        <v>32</v>
      </c>
      <c r="V262" t="s">
        <v>32</v>
      </c>
      <c r="W262" t="s">
        <v>32</v>
      </c>
    </row>
    <row r="263" spans="1:23" x14ac:dyDescent="0.2">
      <c r="A263" t="s">
        <v>2601</v>
      </c>
      <c r="B263" t="s">
        <v>2601</v>
      </c>
      <c r="C263">
        <v>1859</v>
      </c>
      <c r="D263">
        <v>51</v>
      </c>
      <c r="E263" t="s">
        <v>2602</v>
      </c>
      <c r="F263" t="s">
        <v>2603</v>
      </c>
      <c r="G263" t="s">
        <v>2604</v>
      </c>
      <c r="H263" t="s">
        <v>2605</v>
      </c>
      <c r="I263" t="s">
        <v>32</v>
      </c>
      <c r="J263" t="s">
        <v>229</v>
      </c>
      <c r="K263" t="s">
        <v>200</v>
      </c>
      <c r="L263" t="s">
        <v>2606</v>
      </c>
      <c r="M263">
        <v>0</v>
      </c>
      <c r="N263">
        <v>0</v>
      </c>
      <c r="O263">
        <v>0</v>
      </c>
      <c r="P263" t="s">
        <v>2607</v>
      </c>
      <c r="Q263" t="s">
        <v>30</v>
      </c>
      <c r="R263" t="s">
        <v>30</v>
      </c>
      <c r="S263">
        <v>0</v>
      </c>
      <c r="T263" t="s">
        <v>30</v>
      </c>
      <c r="U263" t="s">
        <v>32</v>
      </c>
      <c r="V263" t="s">
        <v>32</v>
      </c>
      <c r="W263" t="s">
        <v>32</v>
      </c>
    </row>
    <row r="264" spans="1:23" x14ac:dyDescent="0.2">
      <c r="A264" t="s">
        <v>2608</v>
      </c>
      <c r="B264" t="s">
        <v>2608</v>
      </c>
      <c r="C264">
        <v>20</v>
      </c>
      <c r="D264">
        <v>20</v>
      </c>
      <c r="E264" t="s">
        <v>2609</v>
      </c>
      <c r="F264" t="s">
        <v>2610</v>
      </c>
      <c r="G264" t="s">
        <v>2609</v>
      </c>
      <c r="H264" t="s">
        <v>2610</v>
      </c>
      <c r="I264" t="s">
        <v>2611</v>
      </c>
      <c r="J264" t="s">
        <v>2612</v>
      </c>
      <c r="K264" t="s">
        <v>2613</v>
      </c>
      <c r="L264" t="s">
        <v>2613</v>
      </c>
      <c r="M264">
        <v>0</v>
      </c>
      <c r="N264">
        <v>0</v>
      </c>
      <c r="O264">
        <v>0</v>
      </c>
      <c r="P264" t="s">
        <v>2614</v>
      </c>
      <c r="Q264" t="s">
        <v>30</v>
      </c>
      <c r="R264" t="s">
        <v>30</v>
      </c>
      <c r="S264">
        <v>64</v>
      </c>
      <c r="T264" t="s">
        <v>343</v>
      </c>
      <c r="U264" t="s">
        <v>32</v>
      </c>
      <c r="V264" t="s">
        <v>32</v>
      </c>
      <c r="W264" t="s">
        <v>32</v>
      </c>
    </row>
    <row r="265" spans="1:23" x14ac:dyDescent="0.2">
      <c r="A265" t="s">
        <v>2615</v>
      </c>
      <c r="B265" t="s">
        <v>2615</v>
      </c>
      <c r="C265">
        <v>163</v>
      </c>
      <c r="D265">
        <v>31</v>
      </c>
      <c r="E265" t="s">
        <v>2616</v>
      </c>
      <c r="F265" t="s">
        <v>2617</v>
      </c>
      <c r="G265" t="s">
        <v>2618</v>
      </c>
      <c r="H265" t="s">
        <v>2619</v>
      </c>
      <c r="I265" t="s">
        <v>32</v>
      </c>
      <c r="J265" t="s">
        <v>2620</v>
      </c>
      <c r="K265" t="s">
        <v>2621</v>
      </c>
      <c r="L265" t="s">
        <v>2622</v>
      </c>
      <c r="M265">
        <v>0</v>
      </c>
      <c r="N265">
        <v>0</v>
      </c>
      <c r="O265">
        <v>0</v>
      </c>
      <c r="P265" t="s">
        <v>2623</v>
      </c>
      <c r="Q265" t="s">
        <v>30</v>
      </c>
      <c r="R265" t="s">
        <v>30</v>
      </c>
      <c r="S265">
        <v>329</v>
      </c>
      <c r="T265" t="s">
        <v>2624</v>
      </c>
      <c r="U265" t="s">
        <v>32</v>
      </c>
      <c r="V265" t="s">
        <v>32</v>
      </c>
      <c r="W265" t="s">
        <v>32</v>
      </c>
    </row>
    <row r="266" spans="1:23" x14ac:dyDescent="0.2">
      <c r="A266" t="s">
        <v>2625</v>
      </c>
      <c r="B266" t="s">
        <v>2625</v>
      </c>
      <c r="C266">
        <v>49</v>
      </c>
      <c r="D266">
        <v>49</v>
      </c>
      <c r="E266" t="s">
        <v>2626</v>
      </c>
      <c r="F266" t="s">
        <v>2627</v>
      </c>
      <c r="G266" t="s">
        <v>2626</v>
      </c>
      <c r="H266" t="s">
        <v>2627</v>
      </c>
      <c r="I266" t="s">
        <v>2628</v>
      </c>
      <c r="J266" t="s">
        <v>2629</v>
      </c>
      <c r="K266" t="s">
        <v>2630</v>
      </c>
      <c r="L266" t="s">
        <v>2630</v>
      </c>
      <c r="M266">
        <v>0</v>
      </c>
      <c r="N266">
        <v>0</v>
      </c>
      <c r="O266">
        <v>0</v>
      </c>
      <c r="P266" t="s">
        <v>2631</v>
      </c>
      <c r="Q266" t="s">
        <v>30</v>
      </c>
      <c r="R266" t="s">
        <v>30</v>
      </c>
      <c r="S266">
        <v>198</v>
      </c>
      <c r="T266" t="s">
        <v>154</v>
      </c>
      <c r="U266" t="s">
        <v>474</v>
      </c>
      <c r="V266" t="s">
        <v>32</v>
      </c>
      <c r="W266" t="s">
        <v>32</v>
      </c>
    </row>
    <row r="267" spans="1:23" x14ac:dyDescent="0.2">
      <c r="A267" t="s">
        <v>2632</v>
      </c>
      <c r="B267" t="s">
        <v>2632</v>
      </c>
      <c r="C267">
        <v>25</v>
      </c>
      <c r="D267">
        <v>25</v>
      </c>
      <c r="E267" t="s">
        <v>2633</v>
      </c>
      <c r="F267" t="s">
        <v>2634</v>
      </c>
      <c r="G267" t="s">
        <v>2633</v>
      </c>
      <c r="H267" t="s">
        <v>2634</v>
      </c>
      <c r="I267" t="s">
        <v>2635</v>
      </c>
      <c r="J267" t="s">
        <v>2636</v>
      </c>
      <c r="K267" t="s">
        <v>2637</v>
      </c>
      <c r="L267" t="s">
        <v>2637</v>
      </c>
      <c r="M267">
        <v>382</v>
      </c>
      <c r="N267">
        <v>64</v>
      </c>
      <c r="O267">
        <v>104.57</v>
      </c>
      <c r="P267" t="s">
        <v>2638</v>
      </c>
      <c r="Q267" t="s">
        <v>700</v>
      </c>
      <c r="R267" t="s">
        <v>154</v>
      </c>
      <c r="S267">
        <v>90</v>
      </c>
      <c r="T267" t="s">
        <v>870</v>
      </c>
      <c r="U267" t="s">
        <v>2639</v>
      </c>
      <c r="V267" t="s">
        <v>32</v>
      </c>
      <c r="W267" t="s">
        <v>32</v>
      </c>
    </row>
    <row r="268" spans="1:23" x14ac:dyDescent="0.2">
      <c r="A268" t="s">
        <v>2640</v>
      </c>
      <c r="B268" t="s">
        <v>2640</v>
      </c>
      <c r="C268">
        <v>2218</v>
      </c>
      <c r="D268">
        <v>65</v>
      </c>
      <c r="E268" t="s">
        <v>2641</v>
      </c>
      <c r="F268" t="s">
        <v>2642</v>
      </c>
      <c r="G268" t="s">
        <v>2643</v>
      </c>
      <c r="H268" t="s">
        <v>357</v>
      </c>
      <c r="I268" t="s">
        <v>32</v>
      </c>
      <c r="J268" t="s">
        <v>32</v>
      </c>
      <c r="K268" t="s">
        <v>30</v>
      </c>
      <c r="L268" t="s">
        <v>30</v>
      </c>
      <c r="M268">
        <v>0</v>
      </c>
      <c r="N268">
        <v>0</v>
      </c>
      <c r="O268">
        <v>0</v>
      </c>
      <c r="P268" t="s">
        <v>2644</v>
      </c>
      <c r="Q268" t="s">
        <v>30</v>
      </c>
      <c r="R268" t="s">
        <v>30</v>
      </c>
      <c r="S268">
        <v>0</v>
      </c>
      <c r="T268" t="s">
        <v>30</v>
      </c>
      <c r="U268" t="s">
        <v>32</v>
      </c>
      <c r="V268" t="s">
        <v>32</v>
      </c>
      <c r="W268" t="s">
        <v>32</v>
      </c>
    </row>
    <row r="269" spans="1:23" x14ac:dyDescent="0.2">
      <c r="A269" t="s">
        <v>2645</v>
      </c>
      <c r="B269" t="s">
        <v>2646</v>
      </c>
      <c r="C269">
        <v>81</v>
      </c>
      <c r="D269">
        <v>25</v>
      </c>
      <c r="E269" t="s">
        <v>2647</v>
      </c>
      <c r="F269" t="s">
        <v>2648</v>
      </c>
      <c r="G269" t="s">
        <v>2649</v>
      </c>
      <c r="H269" t="s">
        <v>2650</v>
      </c>
      <c r="I269" t="s">
        <v>32</v>
      </c>
      <c r="J269" t="s">
        <v>2651</v>
      </c>
      <c r="K269" t="s">
        <v>2652</v>
      </c>
      <c r="L269" t="s">
        <v>2653</v>
      </c>
      <c r="M269">
        <v>55</v>
      </c>
      <c r="N269">
        <v>14</v>
      </c>
      <c r="O269">
        <v>3.35</v>
      </c>
      <c r="P269" t="s">
        <v>2654</v>
      </c>
      <c r="Q269" t="s">
        <v>2655</v>
      </c>
      <c r="R269" t="s">
        <v>2656</v>
      </c>
      <c r="S269">
        <v>59</v>
      </c>
      <c r="T269" t="s">
        <v>2657</v>
      </c>
      <c r="U269" t="s">
        <v>32</v>
      </c>
      <c r="V269" t="s">
        <v>32</v>
      </c>
      <c r="W269" t="s">
        <v>32</v>
      </c>
    </row>
    <row r="270" spans="1:23" x14ac:dyDescent="0.2">
      <c r="A270" t="s">
        <v>2658</v>
      </c>
      <c r="B270" t="s">
        <v>2658</v>
      </c>
      <c r="C270">
        <v>33</v>
      </c>
      <c r="D270">
        <v>33</v>
      </c>
      <c r="E270" t="s">
        <v>2659</v>
      </c>
      <c r="F270" t="s">
        <v>2660</v>
      </c>
      <c r="G270" t="s">
        <v>2659</v>
      </c>
      <c r="H270" t="s">
        <v>2660</v>
      </c>
      <c r="I270" t="s">
        <v>2661</v>
      </c>
      <c r="J270" t="s">
        <v>2662</v>
      </c>
      <c r="K270" t="s">
        <v>2663</v>
      </c>
      <c r="L270" t="s">
        <v>2663</v>
      </c>
      <c r="M270">
        <v>453</v>
      </c>
      <c r="N270">
        <v>5</v>
      </c>
      <c r="O270">
        <v>0.33</v>
      </c>
      <c r="P270" t="s">
        <v>1069</v>
      </c>
      <c r="Q270" t="s">
        <v>2664</v>
      </c>
      <c r="R270" t="s">
        <v>2295</v>
      </c>
      <c r="S270">
        <v>169</v>
      </c>
      <c r="T270" t="s">
        <v>2295</v>
      </c>
      <c r="U270" t="s">
        <v>32</v>
      </c>
      <c r="V270" t="s">
        <v>32</v>
      </c>
      <c r="W270" t="s">
        <v>32</v>
      </c>
    </row>
    <row r="271" spans="1:23" x14ac:dyDescent="0.2">
      <c r="A271" t="s">
        <v>2665</v>
      </c>
      <c r="B271" t="s">
        <v>2665</v>
      </c>
      <c r="C271">
        <v>131</v>
      </c>
      <c r="D271">
        <v>32</v>
      </c>
      <c r="E271" t="s">
        <v>2666</v>
      </c>
      <c r="F271" t="s">
        <v>2667</v>
      </c>
      <c r="G271" t="s">
        <v>2668</v>
      </c>
      <c r="H271" t="s">
        <v>2669</v>
      </c>
      <c r="I271" t="s">
        <v>2670</v>
      </c>
      <c r="J271" t="s">
        <v>2671</v>
      </c>
      <c r="K271" t="s">
        <v>2672</v>
      </c>
      <c r="L271" t="s">
        <v>2673</v>
      </c>
      <c r="M271">
        <v>0</v>
      </c>
      <c r="N271">
        <v>0</v>
      </c>
      <c r="O271">
        <v>0</v>
      </c>
      <c r="P271" t="s">
        <v>2674</v>
      </c>
      <c r="Q271" t="s">
        <v>30</v>
      </c>
      <c r="R271" t="s">
        <v>30</v>
      </c>
      <c r="S271">
        <v>121</v>
      </c>
      <c r="T271" t="s">
        <v>2675</v>
      </c>
      <c r="U271" t="s">
        <v>32</v>
      </c>
      <c r="V271" t="s">
        <v>32</v>
      </c>
      <c r="W271" t="s">
        <v>32</v>
      </c>
    </row>
    <row r="272" spans="1:23" x14ac:dyDescent="0.2">
      <c r="A272" t="s">
        <v>2676</v>
      </c>
      <c r="B272" t="s">
        <v>2677</v>
      </c>
      <c r="C272">
        <v>69</v>
      </c>
      <c r="D272">
        <v>37</v>
      </c>
      <c r="E272" t="s">
        <v>2678</v>
      </c>
      <c r="F272" t="s">
        <v>2679</v>
      </c>
      <c r="G272" t="s">
        <v>2680</v>
      </c>
      <c r="H272" t="s">
        <v>2681</v>
      </c>
      <c r="I272" t="s">
        <v>2682</v>
      </c>
      <c r="J272" t="s">
        <v>2683</v>
      </c>
      <c r="K272" t="s">
        <v>2684</v>
      </c>
      <c r="L272" t="s">
        <v>2685</v>
      </c>
      <c r="M272">
        <v>426</v>
      </c>
      <c r="N272">
        <v>14</v>
      </c>
      <c r="O272">
        <v>0.42</v>
      </c>
      <c r="P272" t="s">
        <v>2686</v>
      </c>
      <c r="Q272" t="s">
        <v>2687</v>
      </c>
      <c r="R272" t="s">
        <v>2688</v>
      </c>
      <c r="S272">
        <v>206</v>
      </c>
      <c r="T272" t="s">
        <v>1871</v>
      </c>
      <c r="U272" t="s">
        <v>32</v>
      </c>
      <c r="V272" t="s">
        <v>32</v>
      </c>
      <c r="W272" t="s">
        <v>32</v>
      </c>
    </row>
    <row r="273" spans="1:23" x14ac:dyDescent="0.2">
      <c r="A273" t="s">
        <v>2689</v>
      </c>
      <c r="B273" t="s">
        <v>2690</v>
      </c>
      <c r="C273">
        <v>50</v>
      </c>
      <c r="D273">
        <v>50</v>
      </c>
      <c r="E273" t="s">
        <v>2691</v>
      </c>
      <c r="F273" t="s">
        <v>2692</v>
      </c>
      <c r="G273" t="s">
        <v>2691</v>
      </c>
      <c r="H273" t="s">
        <v>2692</v>
      </c>
      <c r="I273" t="s">
        <v>2693</v>
      </c>
      <c r="J273" t="s">
        <v>2694</v>
      </c>
      <c r="K273" t="s">
        <v>2695</v>
      </c>
      <c r="L273" t="s">
        <v>2695</v>
      </c>
      <c r="M273">
        <v>430</v>
      </c>
      <c r="N273">
        <v>48</v>
      </c>
      <c r="O273">
        <v>2.1800000000000002</v>
      </c>
      <c r="P273" t="s">
        <v>2696</v>
      </c>
      <c r="Q273" t="s">
        <v>2697</v>
      </c>
      <c r="R273" t="s">
        <v>154</v>
      </c>
      <c r="S273">
        <v>147</v>
      </c>
      <c r="T273" t="s">
        <v>154</v>
      </c>
      <c r="U273" t="s">
        <v>32</v>
      </c>
      <c r="V273" t="s">
        <v>32</v>
      </c>
      <c r="W273" t="s">
        <v>32</v>
      </c>
    </row>
    <row r="274" spans="1:23" x14ac:dyDescent="0.2">
      <c r="A274" t="s">
        <v>2698</v>
      </c>
      <c r="B274" t="s">
        <v>2698</v>
      </c>
      <c r="C274">
        <v>144</v>
      </c>
      <c r="D274">
        <v>80</v>
      </c>
      <c r="E274" t="s">
        <v>2699</v>
      </c>
      <c r="F274" t="s">
        <v>2700</v>
      </c>
      <c r="G274" t="s">
        <v>2701</v>
      </c>
      <c r="H274" t="s">
        <v>2702</v>
      </c>
      <c r="I274" t="s">
        <v>1035</v>
      </c>
      <c r="J274" t="s">
        <v>2703</v>
      </c>
      <c r="K274" t="s">
        <v>2704</v>
      </c>
      <c r="L274" t="s">
        <v>2705</v>
      </c>
      <c r="M274">
        <v>0</v>
      </c>
      <c r="N274">
        <v>0</v>
      </c>
      <c r="O274">
        <v>0</v>
      </c>
      <c r="P274" t="s">
        <v>2706</v>
      </c>
      <c r="Q274" t="s">
        <v>30</v>
      </c>
      <c r="R274" t="s">
        <v>30</v>
      </c>
      <c r="S274">
        <v>402</v>
      </c>
      <c r="T274" t="s">
        <v>2707</v>
      </c>
      <c r="U274" t="s">
        <v>32</v>
      </c>
      <c r="V274" t="s">
        <v>32</v>
      </c>
      <c r="W274" t="s">
        <v>32</v>
      </c>
    </row>
    <row r="275" spans="1:23" x14ac:dyDescent="0.2">
      <c r="A275" t="s">
        <v>2708</v>
      </c>
      <c r="B275" t="s">
        <v>2708</v>
      </c>
      <c r="C275">
        <v>1877</v>
      </c>
      <c r="D275">
        <v>51</v>
      </c>
      <c r="E275" t="s">
        <v>2709</v>
      </c>
      <c r="F275" t="s">
        <v>2710</v>
      </c>
      <c r="G275" t="s">
        <v>2711</v>
      </c>
      <c r="H275" t="s">
        <v>2712</v>
      </c>
      <c r="I275" t="s">
        <v>32</v>
      </c>
      <c r="J275" t="s">
        <v>2713</v>
      </c>
      <c r="K275" t="s">
        <v>191</v>
      </c>
      <c r="L275" t="s">
        <v>2714</v>
      </c>
      <c r="M275">
        <v>0</v>
      </c>
      <c r="N275">
        <v>0</v>
      </c>
      <c r="O275">
        <v>0</v>
      </c>
      <c r="P275" t="s">
        <v>912</v>
      </c>
      <c r="Q275" t="s">
        <v>30</v>
      </c>
      <c r="R275" t="s">
        <v>30</v>
      </c>
      <c r="S275">
        <v>0</v>
      </c>
      <c r="T275" t="s">
        <v>30</v>
      </c>
      <c r="U275" t="s">
        <v>32</v>
      </c>
      <c r="V275" t="s">
        <v>32</v>
      </c>
      <c r="W275" t="s">
        <v>32</v>
      </c>
    </row>
    <row r="276" spans="1:23" x14ac:dyDescent="0.2">
      <c r="A276" t="s">
        <v>2715</v>
      </c>
      <c r="B276" t="s">
        <v>2716</v>
      </c>
      <c r="C276">
        <v>2231</v>
      </c>
      <c r="D276">
        <v>64</v>
      </c>
      <c r="E276" t="s">
        <v>2717</v>
      </c>
      <c r="F276" t="s">
        <v>2718</v>
      </c>
      <c r="G276" t="s">
        <v>2719</v>
      </c>
      <c r="H276" t="s">
        <v>2720</v>
      </c>
      <c r="I276" t="s">
        <v>32</v>
      </c>
      <c r="J276" t="s">
        <v>2721</v>
      </c>
      <c r="K276" t="s">
        <v>2012</v>
      </c>
      <c r="L276" t="s">
        <v>2653</v>
      </c>
      <c r="M276">
        <v>0</v>
      </c>
      <c r="N276">
        <v>0</v>
      </c>
      <c r="O276">
        <v>0</v>
      </c>
      <c r="P276" t="s">
        <v>2722</v>
      </c>
      <c r="Q276" t="s">
        <v>30</v>
      </c>
      <c r="R276" t="s">
        <v>30</v>
      </c>
      <c r="S276">
        <v>0</v>
      </c>
      <c r="T276" t="s">
        <v>30</v>
      </c>
      <c r="U276" t="s">
        <v>32</v>
      </c>
      <c r="V276" t="s">
        <v>32</v>
      </c>
      <c r="W276" t="s">
        <v>32</v>
      </c>
    </row>
    <row r="277" spans="1:23" x14ac:dyDescent="0.2">
      <c r="A277" t="s">
        <v>2723</v>
      </c>
      <c r="B277" t="s">
        <v>2723</v>
      </c>
      <c r="C277">
        <v>46</v>
      </c>
      <c r="D277">
        <v>46</v>
      </c>
      <c r="E277" t="s">
        <v>2724</v>
      </c>
      <c r="F277" t="s">
        <v>2725</v>
      </c>
      <c r="G277" t="s">
        <v>2724</v>
      </c>
      <c r="H277" t="s">
        <v>2725</v>
      </c>
      <c r="I277" t="s">
        <v>2726</v>
      </c>
      <c r="J277" t="s">
        <v>2727</v>
      </c>
      <c r="K277" t="s">
        <v>2728</v>
      </c>
      <c r="L277" t="s">
        <v>2728</v>
      </c>
      <c r="M277">
        <v>786</v>
      </c>
      <c r="N277">
        <v>157</v>
      </c>
      <c r="O277">
        <v>91.35</v>
      </c>
      <c r="P277" t="s">
        <v>2729</v>
      </c>
      <c r="Q277" t="s">
        <v>2730</v>
      </c>
      <c r="R277" t="s">
        <v>2731</v>
      </c>
      <c r="S277">
        <v>129</v>
      </c>
      <c r="T277" t="s">
        <v>2731</v>
      </c>
      <c r="U277" t="s">
        <v>2732</v>
      </c>
      <c r="V277" t="s">
        <v>32</v>
      </c>
      <c r="W277" t="s">
        <v>32</v>
      </c>
    </row>
    <row r="278" spans="1:23" x14ac:dyDescent="0.2">
      <c r="A278" t="s">
        <v>2733</v>
      </c>
      <c r="B278" t="s">
        <v>2734</v>
      </c>
      <c r="C278">
        <v>1353</v>
      </c>
      <c r="D278">
        <v>64</v>
      </c>
      <c r="E278" t="s">
        <v>2735</v>
      </c>
      <c r="F278" t="s">
        <v>2736</v>
      </c>
      <c r="G278" t="s">
        <v>2737</v>
      </c>
      <c r="H278" t="s">
        <v>2738</v>
      </c>
      <c r="I278" t="s">
        <v>32</v>
      </c>
      <c r="J278" t="s">
        <v>2739</v>
      </c>
      <c r="K278" t="s">
        <v>201</v>
      </c>
      <c r="L278" t="s">
        <v>2740</v>
      </c>
      <c r="M278">
        <v>0</v>
      </c>
      <c r="N278">
        <v>0</v>
      </c>
      <c r="O278">
        <v>0</v>
      </c>
      <c r="P278" t="s">
        <v>2741</v>
      </c>
      <c r="Q278" t="s">
        <v>30</v>
      </c>
      <c r="R278" t="s">
        <v>30</v>
      </c>
      <c r="S278">
        <v>0</v>
      </c>
      <c r="T278" t="s">
        <v>30</v>
      </c>
      <c r="U278" t="s">
        <v>32</v>
      </c>
      <c r="V278" t="s">
        <v>32</v>
      </c>
      <c r="W278" t="s">
        <v>32</v>
      </c>
    </row>
    <row r="279" spans="1:23" x14ac:dyDescent="0.2">
      <c r="A279" t="s">
        <v>2742</v>
      </c>
      <c r="B279" t="s">
        <v>2742</v>
      </c>
      <c r="C279">
        <v>223</v>
      </c>
      <c r="D279">
        <v>48</v>
      </c>
      <c r="E279" t="s">
        <v>2743</v>
      </c>
      <c r="F279" t="s">
        <v>2744</v>
      </c>
      <c r="G279" t="s">
        <v>2745</v>
      </c>
      <c r="H279" t="s">
        <v>2746</v>
      </c>
      <c r="I279" t="s">
        <v>2747</v>
      </c>
      <c r="J279" t="s">
        <v>2748</v>
      </c>
      <c r="K279" t="s">
        <v>2749</v>
      </c>
      <c r="L279" t="s">
        <v>2750</v>
      </c>
      <c r="M279">
        <v>0</v>
      </c>
      <c r="N279">
        <v>0</v>
      </c>
      <c r="O279">
        <v>0</v>
      </c>
      <c r="P279" t="s">
        <v>2751</v>
      </c>
      <c r="Q279" t="s">
        <v>30</v>
      </c>
      <c r="R279" t="s">
        <v>30</v>
      </c>
      <c r="S279">
        <v>628</v>
      </c>
      <c r="T279" t="s">
        <v>2752</v>
      </c>
      <c r="U279" t="s">
        <v>32</v>
      </c>
      <c r="V279" t="s">
        <v>32</v>
      </c>
      <c r="W279" t="s">
        <v>32</v>
      </c>
    </row>
    <row r="280" spans="1:23" x14ac:dyDescent="0.2">
      <c r="A280" t="s">
        <v>2753</v>
      </c>
      <c r="B280" t="s">
        <v>2754</v>
      </c>
      <c r="C280">
        <v>1331</v>
      </c>
      <c r="D280">
        <v>62</v>
      </c>
      <c r="E280" t="s">
        <v>2755</v>
      </c>
      <c r="F280" t="s">
        <v>2756</v>
      </c>
      <c r="G280" t="s">
        <v>2757</v>
      </c>
      <c r="H280" t="s">
        <v>2758</v>
      </c>
      <c r="I280" t="s">
        <v>32</v>
      </c>
      <c r="J280" t="s">
        <v>2759</v>
      </c>
      <c r="K280" t="s">
        <v>2760</v>
      </c>
      <c r="L280" t="s">
        <v>399</v>
      </c>
      <c r="M280">
        <v>0</v>
      </c>
      <c r="N280">
        <v>0</v>
      </c>
      <c r="O280">
        <v>0</v>
      </c>
      <c r="P280" t="s">
        <v>1468</v>
      </c>
      <c r="Q280" t="s">
        <v>30</v>
      </c>
      <c r="R280" t="s">
        <v>30</v>
      </c>
      <c r="S280">
        <v>0</v>
      </c>
      <c r="T280" t="s">
        <v>30</v>
      </c>
      <c r="U280" t="s">
        <v>32</v>
      </c>
      <c r="V280" t="s">
        <v>32</v>
      </c>
      <c r="W280" t="s">
        <v>32</v>
      </c>
    </row>
    <row r="281" spans="1:23" x14ac:dyDescent="0.2">
      <c r="A281" t="s">
        <v>2761</v>
      </c>
      <c r="B281" t="s">
        <v>2762</v>
      </c>
      <c r="C281">
        <v>221</v>
      </c>
      <c r="D281">
        <v>44</v>
      </c>
      <c r="E281" t="s">
        <v>2763</v>
      </c>
      <c r="F281" t="s">
        <v>2764</v>
      </c>
      <c r="G281" t="s">
        <v>2765</v>
      </c>
      <c r="H281" t="s">
        <v>2766</v>
      </c>
      <c r="I281" t="s">
        <v>1369</v>
      </c>
      <c r="J281" t="s">
        <v>2767</v>
      </c>
      <c r="K281" t="s">
        <v>2768</v>
      </c>
      <c r="L281" t="s">
        <v>2769</v>
      </c>
      <c r="M281">
        <v>0</v>
      </c>
      <c r="N281">
        <v>0</v>
      </c>
      <c r="O281">
        <v>0</v>
      </c>
      <c r="P281" t="s">
        <v>2770</v>
      </c>
      <c r="Q281" t="s">
        <v>30</v>
      </c>
      <c r="R281" t="s">
        <v>30</v>
      </c>
      <c r="S281">
        <v>453</v>
      </c>
      <c r="T281" t="s">
        <v>2771</v>
      </c>
      <c r="U281" t="s">
        <v>32</v>
      </c>
      <c r="V281" t="s">
        <v>32</v>
      </c>
      <c r="W281" t="s">
        <v>32</v>
      </c>
    </row>
    <row r="282" spans="1:23" x14ac:dyDescent="0.2">
      <c r="A282" t="s">
        <v>2772</v>
      </c>
      <c r="B282" t="s">
        <v>2772</v>
      </c>
      <c r="C282">
        <v>42</v>
      </c>
      <c r="D282">
        <v>42</v>
      </c>
      <c r="E282" t="s">
        <v>2773</v>
      </c>
      <c r="F282" t="s">
        <v>2774</v>
      </c>
      <c r="G282" t="s">
        <v>2773</v>
      </c>
      <c r="H282" t="s">
        <v>2774</v>
      </c>
      <c r="I282" t="s">
        <v>2775</v>
      </c>
      <c r="J282" t="s">
        <v>2776</v>
      </c>
      <c r="K282" t="s">
        <v>2777</v>
      </c>
      <c r="L282" t="s">
        <v>2777</v>
      </c>
      <c r="M282">
        <v>0</v>
      </c>
      <c r="N282">
        <v>0</v>
      </c>
      <c r="O282">
        <v>0</v>
      </c>
      <c r="P282" t="s">
        <v>2778</v>
      </c>
      <c r="Q282" t="s">
        <v>30</v>
      </c>
      <c r="R282" t="s">
        <v>30</v>
      </c>
      <c r="S282">
        <v>170</v>
      </c>
      <c r="T282" t="s">
        <v>2779</v>
      </c>
      <c r="U282" t="s">
        <v>32</v>
      </c>
      <c r="V282" t="s">
        <v>32</v>
      </c>
      <c r="W282" t="s">
        <v>32</v>
      </c>
    </row>
    <row r="283" spans="1:23" x14ac:dyDescent="0.2">
      <c r="A283" t="s">
        <v>2780</v>
      </c>
      <c r="B283" t="s">
        <v>2780</v>
      </c>
      <c r="C283">
        <v>133</v>
      </c>
      <c r="D283">
        <v>77</v>
      </c>
      <c r="E283" t="s">
        <v>2781</v>
      </c>
      <c r="F283" t="s">
        <v>2782</v>
      </c>
      <c r="G283" t="s">
        <v>2783</v>
      </c>
      <c r="H283" t="s">
        <v>2784</v>
      </c>
      <c r="I283" t="s">
        <v>2785</v>
      </c>
      <c r="J283" t="s">
        <v>2786</v>
      </c>
      <c r="K283" t="s">
        <v>2787</v>
      </c>
      <c r="L283" t="s">
        <v>2788</v>
      </c>
      <c r="M283">
        <v>0</v>
      </c>
      <c r="N283">
        <v>0</v>
      </c>
      <c r="O283">
        <v>0</v>
      </c>
      <c r="P283" t="s">
        <v>2789</v>
      </c>
      <c r="Q283" t="s">
        <v>30</v>
      </c>
      <c r="R283" t="s">
        <v>30</v>
      </c>
      <c r="S283">
        <v>310</v>
      </c>
      <c r="T283" t="s">
        <v>2790</v>
      </c>
      <c r="U283" t="s">
        <v>84</v>
      </c>
      <c r="V283" t="s">
        <v>32</v>
      </c>
      <c r="W283" t="s">
        <v>32</v>
      </c>
    </row>
    <row r="284" spans="1:23" x14ac:dyDescent="0.2">
      <c r="A284" t="s">
        <v>2791</v>
      </c>
      <c r="B284" t="s">
        <v>2791</v>
      </c>
      <c r="C284">
        <v>1877</v>
      </c>
      <c r="D284">
        <v>51</v>
      </c>
      <c r="E284" t="s">
        <v>2792</v>
      </c>
      <c r="F284" t="s">
        <v>2793</v>
      </c>
      <c r="G284" t="s">
        <v>2794</v>
      </c>
      <c r="H284" t="s">
        <v>2795</v>
      </c>
      <c r="I284" t="s">
        <v>32</v>
      </c>
      <c r="J284" t="s">
        <v>32</v>
      </c>
      <c r="K284" t="s">
        <v>30</v>
      </c>
      <c r="L284" t="s">
        <v>30</v>
      </c>
      <c r="M284">
        <v>0</v>
      </c>
      <c r="N284">
        <v>0</v>
      </c>
      <c r="O284">
        <v>0</v>
      </c>
      <c r="P284" t="s">
        <v>2796</v>
      </c>
      <c r="Q284" t="s">
        <v>30</v>
      </c>
      <c r="R284" t="s">
        <v>30</v>
      </c>
      <c r="S284">
        <v>0</v>
      </c>
      <c r="T284" t="s">
        <v>30</v>
      </c>
      <c r="U284" t="s">
        <v>32</v>
      </c>
      <c r="V284" t="s">
        <v>32</v>
      </c>
      <c r="W284" t="s">
        <v>32</v>
      </c>
    </row>
    <row r="285" spans="1:23" x14ac:dyDescent="0.2">
      <c r="A285" t="s">
        <v>2797</v>
      </c>
      <c r="B285" t="s">
        <v>2797</v>
      </c>
      <c r="C285">
        <v>132</v>
      </c>
      <c r="D285">
        <v>80</v>
      </c>
      <c r="E285" t="s">
        <v>2798</v>
      </c>
      <c r="F285" t="s">
        <v>2799</v>
      </c>
      <c r="G285" t="s">
        <v>2800</v>
      </c>
      <c r="H285" t="s">
        <v>2801</v>
      </c>
      <c r="I285" t="s">
        <v>2802</v>
      </c>
      <c r="J285" t="s">
        <v>2803</v>
      </c>
      <c r="K285" t="s">
        <v>2804</v>
      </c>
      <c r="L285" t="s">
        <v>2805</v>
      </c>
      <c r="M285">
        <v>0</v>
      </c>
      <c r="N285">
        <v>0</v>
      </c>
      <c r="O285">
        <v>0</v>
      </c>
      <c r="P285" t="s">
        <v>2806</v>
      </c>
      <c r="Q285" t="s">
        <v>30</v>
      </c>
      <c r="R285" t="s">
        <v>30</v>
      </c>
      <c r="S285">
        <v>335</v>
      </c>
      <c r="T285" t="s">
        <v>945</v>
      </c>
      <c r="U285" t="s">
        <v>84</v>
      </c>
      <c r="V285" t="s">
        <v>32</v>
      </c>
      <c r="W285" t="s">
        <v>32</v>
      </c>
    </row>
    <row r="286" spans="1:23" x14ac:dyDescent="0.2">
      <c r="A286" t="s">
        <v>2807</v>
      </c>
      <c r="B286" t="s">
        <v>2808</v>
      </c>
      <c r="C286">
        <v>1358</v>
      </c>
      <c r="D286">
        <v>64</v>
      </c>
      <c r="E286" t="s">
        <v>2809</v>
      </c>
      <c r="F286" t="s">
        <v>2810</v>
      </c>
      <c r="G286" t="s">
        <v>2811</v>
      </c>
      <c r="H286" t="s">
        <v>2812</v>
      </c>
      <c r="I286" t="s">
        <v>2813</v>
      </c>
      <c r="J286" t="s">
        <v>2814</v>
      </c>
      <c r="K286" t="s">
        <v>1613</v>
      </c>
      <c r="L286" t="s">
        <v>2815</v>
      </c>
      <c r="M286">
        <v>0</v>
      </c>
      <c r="N286">
        <v>0</v>
      </c>
      <c r="O286">
        <v>0</v>
      </c>
      <c r="P286" t="s">
        <v>2816</v>
      </c>
      <c r="Q286" t="s">
        <v>30</v>
      </c>
      <c r="R286" t="s">
        <v>30</v>
      </c>
      <c r="S286">
        <v>0</v>
      </c>
      <c r="T286" t="s">
        <v>30</v>
      </c>
      <c r="U286" t="s">
        <v>32</v>
      </c>
      <c r="V286" t="s">
        <v>32</v>
      </c>
      <c r="W286" t="s">
        <v>32</v>
      </c>
    </row>
    <row r="287" spans="1:23" x14ac:dyDescent="0.2">
      <c r="A287" t="s">
        <v>2817</v>
      </c>
      <c r="B287" t="s">
        <v>2817</v>
      </c>
      <c r="C287">
        <v>1554070</v>
      </c>
      <c r="D287">
        <v>4783</v>
      </c>
      <c r="E287" t="s">
        <v>2818</v>
      </c>
      <c r="F287" t="s">
        <v>2819</v>
      </c>
      <c r="G287" t="s">
        <v>2820</v>
      </c>
      <c r="H287" t="s">
        <v>2821</v>
      </c>
      <c r="I287" t="s">
        <v>2822</v>
      </c>
      <c r="J287" t="s">
        <v>2823</v>
      </c>
      <c r="K287" t="s">
        <v>30</v>
      </c>
      <c r="L287" t="s">
        <v>2389</v>
      </c>
      <c r="M287">
        <v>0</v>
      </c>
      <c r="N287">
        <v>0</v>
      </c>
      <c r="O287">
        <v>0</v>
      </c>
      <c r="P287" t="s">
        <v>912</v>
      </c>
      <c r="Q287" t="s">
        <v>30</v>
      </c>
      <c r="R287" t="s">
        <v>30</v>
      </c>
      <c r="S287">
        <v>0</v>
      </c>
      <c r="T287" t="s">
        <v>30</v>
      </c>
      <c r="U287" t="s">
        <v>32</v>
      </c>
      <c r="V287" t="s">
        <v>32</v>
      </c>
      <c r="W287" t="s">
        <v>32</v>
      </c>
    </row>
    <row r="288" spans="1:23" x14ac:dyDescent="0.2">
      <c r="A288" t="s">
        <v>2824</v>
      </c>
      <c r="B288" t="s">
        <v>2824</v>
      </c>
      <c r="C288">
        <v>106</v>
      </c>
      <c r="D288">
        <v>61</v>
      </c>
      <c r="E288" t="s">
        <v>2825</v>
      </c>
      <c r="F288" t="s">
        <v>2826</v>
      </c>
      <c r="G288" t="s">
        <v>2827</v>
      </c>
      <c r="H288" t="s">
        <v>2828</v>
      </c>
      <c r="I288" t="s">
        <v>1991</v>
      </c>
      <c r="J288" t="s">
        <v>2829</v>
      </c>
      <c r="K288" t="s">
        <v>2830</v>
      </c>
      <c r="L288" t="s">
        <v>2831</v>
      </c>
      <c r="M288">
        <v>0</v>
      </c>
      <c r="N288">
        <v>0</v>
      </c>
      <c r="O288">
        <v>0</v>
      </c>
      <c r="P288" t="s">
        <v>2832</v>
      </c>
      <c r="Q288" t="s">
        <v>30</v>
      </c>
      <c r="R288" t="s">
        <v>30</v>
      </c>
      <c r="S288">
        <v>280</v>
      </c>
      <c r="T288" t="s">
        <v>2833</v>
      </c>
      <c r="U288" t="s">
        <v>32</v>
      </c>
      <c r="V288" t="s">
        <v>32</v>
      </c>
      <c r="W288" t="s">
        <v>32</v>
      </c>
    </row>
    <row r="289" spans="1:23" x14ac:dyDescent="0.2">
      <c r="A289" t="s">
        <v>2834</v>
      </c>
      <c r="B289" t="s">
        <v>2834</v>
      </c>
      <c r="C289">
        <v>119</v>
      </c>
      <c r="D289">
        <v>30</v>
      </c>
      <c r="E289" t="s">
        <v>2835</v>
      </c>
      <c r="F289" t="s">
        <v>2836</v>
      </c>
      <c r="G289" t="s">
        <v>2837</v>
      </c>
      <c r="H289" t="s">
        <v>2167</v>
      </c>
      <c r="I289" t="s">
        <v>2168</v>
      </c>
      <c r="J289" t="s">
        <v>2838</v>
      </c>
      <c r="K289" t="s">
        <v>2839</v>
      </c>
      <c r="L289" t="s">
        <v>2840</v>
      </c>
      <c r="M289">
        <v>0</v>
      </c>
      <c r="N289">
        <v>0</v>
      </c>
      <c r="O289">
        <v>0</v>
      </c>
      <c r="P289" t="s">
        <v>2841</v>
      </c>
      <c r="Q289" t="s">
        <v>30</v>
      </c>
      <c r="R289" t="s">
        <v>30</v>
      </c>
      <c r="S289">
        <v>228</v>
      </c>
      <c r="T289" t="s">
        <v>2842</v>
      </c>
      <c r="U289" t="s">
        <v>32</v>
      </c>
      <c r="V289" t="s">
        <v>32</v>
      </c>
      <c r="W289" t="s">
        <v>32</v>
      </c>
    </row>
    <row r="290" spans="1:23" x14ac:dyDescent="0.2">
      <c r="A290" t="s">
        <v>2843</v>
      </c>
      <c r="B290" t="s">
        <v>2844</v>
      </c>
      <c r="C290">
        <v>94</v>
      </c>
      <c r="D290">
        <v>42</v>
      </c>
      <c r="E290" t="s">
        <v>2845</v>
      </c>
      <c r="F290" t="s">
        <v>2846</v>
      </c>
      <c r="G290" t="s">
        <v>2847</v>
      </c>
      <c r="H290" t="s">
        <v>2848</v>
      </c>
      <c r="I290" t="s">
        <v>918</v>
      </c>
      <c r="J290" t="s">
        <v>2849</v>
      </c>
      <c r="K290" t="s">
        <v>2850</v>
      </c>
      <c r="L290" t="s">
        <v>2851</v>
      </c>
      <c r="M290">
        <v>433</v>
      </c>
      <c r="N290">
        <v>53</v>
      </c>
      <c r="O290">
        <v>8.23</v>
      </c>
      <c r="P290" t="s">
        <v>2852</v>
      </c>
      <c r="Q290" t="s">
        <v>2853</v>
      </c>
      <c r="R290" t="s">
        <v>2854</v>
      </c>
      <c r="S290">
        <v>265</v>
      </c>
      <c r="T290" t="s">
        <v>2855</v>
      </c>
      <c r="U290" t="s">
        <v>84</v>
      </c>
      <c r="V290" t="s">
        <v>32</v>
      </c>
      <c r="W290" t="s">
        <v>32</v>
      </c>
    </row>
    <row r="291" spans="1:23" x14ac:dyDescent="0.2">
      <c r="A291" t="s">
        <v>2856</v>
      </c>
      <c r="B291" t="s">
        <v>2856</v>
      </c>
      <c r="C291">
        <v>85</v>
      </c>
      <c r="D291">
        <v>40</v>
      </c>
      <c r="E291" t="s">
        <v>2857</v>
      </c>
      <c r="F291" t="s">
        <v>2858</v>
      </c>
      <c r="G291" t="s">
        <v>2859</v>
      </c>
      <c r="H291" t="s">
        <v>2860</v>
      </c>
      <c r="I291" t="s">
        <v>2861</v>
      </c>
      <c r="J291" t="s">
        <v>2862</v>
      </c>
      <c r="K291" t="s">
        <v>2863</v>
      </c>
      <c r="L291" t="s">
        <v>2864</v>
      </c>
      <c r="M291">
        <v>0</v>
      </c>
      <c r="N291">
        <v>0</v>
      </c>
      <c r="O291">
        <v>0</v>
      </c>
      <c r="P291" t="s">
        <v>2865</v>
      </c>
      <c r="Q291" t="s">
        <v>30</v>
      </c>
      <c r="R291" t="s">
        <v>30</v>
      </c>
      <c r="S291">
        <v>169</v>
      </c>
      <c r="T291" t="s">
        <v>2866</v>
      </c>
      <c r="U291" t="s">
        <v>84</v>
      </c>
      <c r="V291" t="s">
        <v>32</v>
      </c>
      <c r="W291" t="s">
        <v>32</v>
      </c>
    </row>
    <row r="292" spans="1:23" x14ac:dyDescent="0.2">
      <c r="A292" t="s">
        <v>2867</v>
      </c>
      <c r="B292" t="s">
        <v>2868</v>
      </c>
      <c r="C292">
        <v>31</v>
      </c>
      <c r="D292">
        <v>31</v>
      </c>
      <c r="E292" t="s">
        <v>2869</v>
      </c>
      <c r="F292" t="s">
        <v>1313</v>
      </c>
      <c r="G292" t="s">
        <v>2869</v>
      </c>
      <c r="H292" t="s">
        <v>1313</v>
      </c>
      <c r="I292" t="s">
        <v>2870</v>
      </c>
      <c r="J292" t="s">
        <v>2871</v>
      </c>
      <c r="K292" t="s">
        <v>2872</v>
      </c>
      <c r="L292" t="s">
        <v>2872</v>
      </c>
      <c r="M292">
        <v>283</v>
      </c>
      <c r="N292">
        <v>9</v>
      </c>
      <c r="O292">
        <v>1.43</v>
      </c>
      <c r="P292" t="s">
        <v>2873</v>
      </c>
      <c r="Q292" t="s">
        <v>2874</v>
      </c>
      <c r="R292" t="s">
        <v>154</v>
      </c>
      <c r="S292">
        <v>87</v>
      </c>
      <c r="T292" t="s">
        <v>154</v>
      </c>
      <c r="U292" t="s">
        <v>2875</v>
      </c>
      <c r="V292" t="s">
        <v>32</v>
      </c>
      <c r="W292" t="s">
        <v>32</v>
      </c>
    </row>
    <row r="293" spans="1:23" x14ac:dyDescent="0.2">
      <c r="A293" t="s">
        <v>2876</v>
      </c>
      <c r="B293" t="s">
        <v>2876</v>
      </c>
      <c r="C293">
        <v>100</v>
      </c>
      <c r="D293">
        <v>73</v>
      </c>
      <c r="E293" t="s">
        <v>2877</v>
      </c>
      <c r="F293" t="s">
        <v>2878</v>
      </c>
      <c r="G293" t="s">
        <v>2879</v>
      </c>
      <c r="H293" t="s">
        <v>2880</v>
      </c>
      <c r="I293" t="s">
        <v>2881</v>
      </c>
      <c r="J293" t="s">
        <v>2882</v>
      </c>
      <c r="K293" t="s">
        <v>2883</v>
      </c>
      <c r="L293" t="s">
        <v>2884</v>
      </c>
      <c r="M293">
        <v>0</v>
      </c>
      <c r="N293">
        <v>0</v>
      </c>
      <c r="O293">
        <v>0</v>
      </c>
      <c r="P293" t="s">
        <v>2885</v>
      </c>
      <c r="Q293" t="s">
        <v>30</v>
      </c>
      <c r="R293" t="s">
        <v>30</v>
      </c>
      <c r="S293">
        <v>445</v>
      </c>
      <c r="T293" t="s">
        <v>2886</v>
      </c>
      <c r="U293" t="s">
        <v>474</v>
      </c>
      <c r="V293" t="s">
        <v>32</v>
      </c>
      <c r="W293" t="s">
        <v>32</v>
      </c>
    </row>
    <row r="294" spans="1:23" x14ac:dyDescent="0.2">
      <c r="A294" t="s">
        <v>2887</v>
      </c>
      <c r="B294" t="s">
        <v>2887</v>
      </c>
      <c r="C294">
        <v>2240</v>
      </c>
      <c r="D294">
        <v>65</v>
      </c>
      <c r="E294" t="s">
        <v>2888</v>
      </c>
      <c r="F294" t="s">
        <v>2889</v>
      </c>
      <c r="G294" t="s">
        <v>2890</v>
      </c>
      <c r="H294" t="s">
        <v>2891</v>
      </c>
      <c r="I294" t="s">
        <v>2892</v>
      </c>
      <c r="J294" t="s">
        <v>32</v>
      </c>
      <c r="K294" t="s">
        <v>30</v>
      </c>
      <c r="L294" t="s">
        <v>30</v>
      </c>
      <c r="M294">
        <v>0</v>
      </c>
      <c r="N294">
        <v>0</v>
      </c>
      <c r="O294">
        <v>0</v>
      </c>
      <c r="P294" t="s">
        <v>2893</v>
      </c>
      <c r="Q294" t="s">
        <v>30</v>
      </c>
      <c r="R294" t="s">
        <v>30</v>
      </c>
      <c r="S294">
        <v>0</v>
      </c>
      <c r="T294" t="s">
        <v>30</v>
      </c>
      <c r="U294" t="s">
        <v>32</v>
      </c>
      <c r="V294" t="s">
        <v>32</v>
      </c>
      <c r="W294" t="s">
        <v>32</v>
      </c>
    </row>
    <row r="295" spans="1:23" x14ac:dyDescent="0.2">
      <c r="A295" t="s">
        <v>2894</v>
      </c>
      <c r="B295" t="s">
        <v>2894</v>
      </c>
      <c r="C295">
        <v>128</v>
      </c>
      <c r="D295">
        <v>81</v>
      </c>
      <c r="E295" t="s">
        <v>2895</v>
      </c>
      <c r="F295" t="s">
        <v>2896</v>
      </c>
      <c r="G295" t="s">
        <v>2897</v>
      </c>
      <c r="H295" t="s">
        <v>2898</v>
      </c>
      <c r="I295" t="s">
        <v>2899</v>
      </c>
      <c r="J295" t="s">
        <v>2900</v>
      </c>
      <c r="K295" t="s">
        <v>2901</v>
      </c>
      <c r="L295" t="s">
        <v>2902</v>
      </c>
      <c r="M295">
        <v>0</v>
      </c>
      <c r="N295">
        <v>0</v>
      </c>
      <c r="O295">
        <v>0</v>
      </c>
      <c r="P295" t="s">
        <v>2903</v>
      </c>
      <c r="Q295" t="s">
        <v>30</v>
      </c>
      <c r="R295" t="s">
        <v>30</v>
      </c>
      <c r="S295">
        <v>316</v>
      </c>
      <c r="T295" t="s">
        <v>2904</v>
      </c>
      <c r="U295" t="s">
        <v>32</v>
      </c>
      <c r="V295" t="s">
        <v>32</v>
      </c>
      <c r="W295" t="s">
        <v>32</v>
      </c>
    </row>
    <row r="296" spans="1:23" x14ac:dyDescent="0.2">
      <c r="A296" t="s">
        <v>2905</v>
      </c>
      <c r="B296" t="s">
        <v>2905</v>
      </c>
      <c r="C296">
        <v>103</v>
      </c>
      <c r="D296">
        <v>63</v>
      </c>
      <c r="E296" t="s">
        <v>2906</v>
      </c>
      <c r="F296" t="s">
        <v>2907</v>
      </c>
      <c r="G296" t="s">
        <v>2908</v>
      </c>
      <c r="H296" t="s">
        <v>2909</v>
      </c>
      <c r="I296" t="s">
        <v>2910</v>
      </c>
      <c r="J296" t="s">
        <v>2911</v>
      </c>
      <c r="K296" t="s">
        <v>617</v>
      </c>
      <c r="L296" t="s">
        <v>2912</v>
      </c>
      <c r="M296">
        <v>0</v>
      </c>
      <c r="N296">
        <v>0</v>
      </c>
      <c r="O296">
        <v>0</v>
      </c>
      <c r="P296" t="s">
        <v>2913</v>
      </c>
      <c r="Q296" t="s">
        <v>30</v>
      </c>
      <c r="R296" t="s">
        <v>30</v>
      </c>
      <c r="S296">
        <v>199</v>
      </c>
      <c r="T296" t="s">
        <v>2914</v>
      </c>
      <c r="U296" t="s">
        <v>32</v>
      </c>
      <c r="V296" t="s">
        <v>32</v>
      </c>
      <c r="W296" t="s">
        <v>32</v>
      </c>
    </row>
    <row r="297" spans="1:23" x14ac:dyDescent="0.2">
      <c r="A297" t="s">
        <v>2915</v>
      </c>
      <c r="B297" t="s">
        <v>2916</v>
      </c>
      <c r="C297">
        <v>25</v>
      </c>
      <c r="D297">
        <v>25</v>
      </c>
      <c r="E297" t="s">
        <v>2917</v>
      </c>
      <c r="F297" t="s">
        <v>2918</v>
      </c>
      <c r="G297" t="s">
        <v>2917</v>
      </c>
      <c r="H297" t="s">
        <v>2918</v>
      </c>
      <c r="I297" t="s">
        <v>2919</v>
      </c>
      <c r="J297" t="s">
        <v>2920</v>
      </c>
      <c r="K297" t="s">
        <v>2921</v>
      </c>
      <c r="L297" t="s">
        <v>2921</v>
      </c>
      <c r="M297">
        <v>225</v>
      </c>
      <c r="N297">
        <v>50</v>
      </c>
      <c r="O297">
        <v>19.7</v>
      </c>
      <c r="P297" t="s">
        <v>2922</v>
      </c>
      <c r="Q297" t="s">
        <v>2923</v>
      </c>
      <c r="R297" t="s">
        <v>852</v>
      </c>
      <c r="S297">
        <v>146</v>
      </c>
      <c r="T297" t="s">
        <v>870</v>
      </c>
      <c r="U297" t="s">
        <v>32</v>
      </c>
      <c r="V297" t="s">
        <v>32</v>
      </c>
      <c r="W297" t="s">
        <v>32</v>
      </c>
    </row>
    <row r="298" spans="1:23" x14ac:dyDescent="0.2">
      <c r="A298" t="s">
        <v>2924</v>
      </c>
      <c r="B298" t="s">
        <v>2925</v>
      </c>
      <c r="C298">
        <v>160</v>
      </c>
      <c r="D298">
        <v>45</v>
      </c>
      <c r="E298" t="s">
        <v>2926</v>
      </c>
      <c r="F298" t="s">
        <v>2927</v>
      </c>
      <c r="G298" t="s">
        <v>2928</v>
      </c>
      <c r="H298" t="s">
        <v>2929</v>
      </c>
      <c r="I298" t="s">
        <v>2813</v>
      </c>
      <c r="J298" t="s">
        <v>2930</v>
      </c>
      <c r="K298" t="s">
        <v>1080</v>
      </c>
      <c r="L298" t="s">
        <v>2931</v>
      </c>
      <c r="M298">
        <v>470</v>
      </c>
      <c r="N298">
        <v>6</v>
      </c>
      <c r="O298">
        <v>0.6</v>
      </c>
      <c r="P298" t="s">
        <v>2932</v>
      </c>
      <c r="Q298" t="s">
        <v>2714</v>
      </c>
      <c r="R298" t="s">
        <v>2933</v>
      </c>
      <c r="S298">
        <v>496</v>
      </c>
      <c r="T298" t="s">
        <v>2933</v>
      </c>
      <c r="U298" t="s">
        <v>32</v>
      </c>
      <c r="V298" t="s">
        <v>32</v>
      </c>
      <c r="W298" t="s">
        <v>32</v>
      </c>
    </row>
    <row r="299" spans="1:23" x14ac:dyDescent="0.2">
      <c r="A299" t="s">
        <v>2934</v>
      </c>
      <c r="B299" t="s">
        <v>2935</v>
      </c>
      <c r="C299">
        <v>112</v>
      </c>
      <c r="D299">
        <v>64</v>
      </c>
      <c r="E299" t="s">
        <v>2936</v>
      </c>
      <c r="F299" t="s">
        <v>2937</v>
      </c>
      <c r="G299" t="s">
        <v>2938</v>
      </c>
      <c r="H299" t="s">
        <v>2939</v>
      </c>
      <c r="I299" t="s">
        <v>2940</v>
      </c>
      <c r="J299" t="s">
        <v>2941</v>
      </c>
      <c r="K299" t="s">
        <v>2942</v>
      </c>
      <c r="L299" t="s">
        <v>2943</v>
      </c>
      <c r="M299">
        <v>902</v>
      </c>
      <c r="N299">
        <v>16</v>
      </c>
      <c r="O299">
        <v>0.65</v>
      </c>
      <c r="P299" t="s">
        <v>2944</v>
      </c>
      <c r="Q299" t="s">
        <v>2945</v>
      </c>
      <c r="R299" t="s">
        <v>923</v>
      </c>
      <c r="S299">
        <v>413</v>
      </c>
      <c r="T299" t="s">
        <v>2946</v>
      </c>
      <c r="U299" t="s">
        <v>32</v>
      </c>
      <c r="V299" t="s">
        <v>32</v>
      </c>
      <c r="W299" t="s">
        <v>32</v>
      </c>
    </row>
    <row r="300" spans="1:23" x14ac:dyDescent="0.2">
      <c r="A300" t="s">
        <v>2947</v>
      </c>
      <c r="B300" t="s">
        <v>2947</v>
      </c>
      <c r="C300">
        <v>20</v>
      </c>
      <c r="D300">
        <v>20</v>
      </c>
      <c r="E300" t="s">
        <v>2948</v>
      </c>
      <c r="F300" t="s">
        <v>2949</v>
      </c>
      <c r="G300" t="s">
        <v>2948</v>
      </c>
      <c r="H300" t="s">
        <v>2949</v>
      </c>
      <c r="I300" t="s">
        <v>2950</v>
      </c>
      <c r="J300" t="s">
        <v>2951</v>
      </c>
      <c r="K300" t="s">
        <v>2952</v>
      </c>
      <c r="L300" t="s">
        <v>2952</v>
      </c>
      <c r="M300">
        <v>0</v>
      </c>
      <c r="N300">
        <v>0</v>
      </c>
      <c r="O300">
        <v>0</v>
      </c>
      <c r="P300" t="s">
        <v>1011</v>
      </c>
      <c r="Q300" t="s">
        <v>30</v>
      </c>
      <c r="R300" t="s">
        <v>30</v>
      </c>
      <c r="S300">
        <v>38</v>
      </c>
      <c r="T300" t="s">
        <v>154</v>
      </c>
      <c r="U300" t="s">
        <v>32</v>
      </c>
      <c r="V300" t="s">
        <v>32</v>
      </c>
      <c r="W300" t="s">
        <v>32</v>
      </c>
    </row>
    <row r="301" spans="1:23" x14ac:dyDescent="0.2">
      <c r="A301" t="s">
        <v>2953</v>
      </c>
      <c r="B301" t="s">
        <v>2953</v>
      </c>
      <c r="C301">
        <v>1802</v>
      </c>
      <c r="D301">
        <v>65</v>
      </c>
      <c r="E301" t="s">
        <v>2954</v>
      </c>
      <c r="F301" t="s">
        <v>2955</v>
      </c>
      <c r="G301" t="s">
        <v>2956</v>
      </c>
      <c r="H301" t="s">
        <v>2957</v>
      </c>
      <c r="I301" t="s">
        <v>2958</v>
      </c>
      <c r="J301" t="s">
        <v>2959</v>
      </c>
      <c r="K301" t="s">
        <v>537</v>
      </c>
      <c r="L301" t="s">
        <v>2102</v>
      </c>
      <c r="M301">
        <v>0</v>
      </c>
      <c r="N301">
        <v>0</v>
      </c>
      <c r="O301">
        <v>0</v>
      </c>
      <c r="P301" t="s">
        <v>2960</v>
      </c>
      <c r="Q301" t="s">
        <v>30</v>
      </c>
      <c r="R301" t="s">
        <v>30</v>
      </c>
      <c r="S301">
        <v>0</v>
      </c>
      <c r="T301" t="s">
        <v>30</v>
      </c>
      <c r="U301" t="s">
        <v>474</v>
      </c>
      <c r="V301" t="s">
        <v>32</v>
      </c>
      <c r="W301" t="s">
        <v>32</v>
      </c>
    </row>
    <row r="302" spans="1:23" x14ac:dyDescent="0.2">
      <c r="A302" t="s">
        <v>2961</v>
      </c>
      <c r="B302" t="s">
        <v>2962</v>
      </c>
      <c r="C302">
        <v>117</v>
      </c>
      <c r="D302">
        <v>83</v>
      </c>
      <c r="E302" t="s">
        <v>2963</v>
      </c>
      <c r="F302" t="s">
        <v>2964</v>
      </c>
      <c r="G302" t="s">
        <v>2965</v>
      </c>
      <c r="H302" t="s">
        <v>2966</v>
      </c>
      <c r="I302" t="s">
        <v>297</v>
      </c>
      <c r="J302" t="s">
        <v>2967</v>
      </c>
      <c r="K302" t="s">
        <v>2968</v>
      </c>
      <c r="L302" t="s">
        <v>2969</v>
      </c>
      <c r="M302">
        <v>872</v>
      </c>
      <c r="N302">
        <v>3</v>
      </c>
      <c r="O302">
        <v>0.27</v>
      </c>
      <c r="P302" t="s">
        <v>2970</v>
      </c>
      <c r="Q302" t="s">
        <v>2971</v>
      </c>
      <c r="R302" t="s">
        <v>2972</v>
      </c>
      <c r="S302">
        <v>354</v>
      </c>
      <c r="T302" t="s">
        <v>2972</v>
      </c>
      <c r="U302" t="s">
        <v>32</v>
      </c>
      <c r="V302" t="s">
        <v>32</v>
      </c>
      <c r="W302" t="s">
        <v>32</v>
      </c>
    </row>
    <row r="303" spans="1:23" x14ac:dyDescent="0.2">
      <c r="A303" t="s">
        <v>2973</v>
      </c>
      <c r="B303" t="s">
        <v>2974</v>
      </c>
      <c r="C303">
        <v>1356</v>
      </c>
      <c r="D303">
        <v>64</v>
      </c>
      <c r="E303" t="s">
        <v>2975</v>
      </c>
      <c r="F303" t="s">
        <v>2976</v>
      </c>
      <c r="G303" t="s">
        <v>2977</v>
      </c>
      <c r="H303" t="s">
        <v>2978</v>
      </c>
      <c r="I303" t="s">
        <v>2813</v>
      </c>
      <c r="J303" t="s">
        <v>2979</v>
      </c>
      <c r="K303" t="s">
        <v>804</v>
      </c>
      <c r="L303" t="s">
        <v>2980</v>
      </c>
      <c r="M303">
        <v>0</v>
      </c>
      <c r="N303">
        <v>0</v>
      </c>
      <c r="O303">
        <v>0</v>
      </c>
      <c r="P303" t="s">
        <v>2981</v>
      </c>
      <c r="Q303" t="s">
        <v>30</v>
      </c>
      <c r="R303" t="s">
        <v>30</v>
      </c>
      <c r="S303">
        <v>0</v>
      </c>
      <c r="T303" t="s">
        <v>30</v>
      </c>
      <c r="U303" t="s">
        <v>32</v>
      </c>
      <c r="V303" t="s">
        <v>32</v>
      </c>
      <c r="W303" t="s">
        <v>32</v>
      </c>
    </row>
    <row r="304" spans="1:23" x14ac:dyDescent="0.2">
      <c r="A304" t="s">
        <v>2982</v>
      </c>
      <c r="B304" t="s">
        <v>2982</v>
      </c>
      <c r="C304">
        <v>1349</v>
      </c>
      <c r="D304">
        <v>63</v>
      </c>
      <c r="E304" t="s">
        <v>2983</v>
      </c>
      <c r="F304" t="s">
        <v>2984</v>
      </c>
      <c r="G304" t="s">
        <v>2985</v>
      </c>
      <c r="H304" t="s">
        <v>2986</v>
      </c>
      <c r="I304" t="s">
        <v>2987</v>
      </c>
      <c r="J304" t="s">
        <v>2988</v>
      </c>
      <c r="K304" t="s">
        <v>1800</v>
      </c>
      <c r="L304" t="s">
        <v>1639</v>
      </c>
      <c r="M304">
        <v>0</v>
      </c>
      <c r="N304">
        <v>0</v>
      </c>
      <c r="O304">
        <v>0</v>
      </c>
      <c r="P304" t="s">
        <v>2989</v>
      </c>
      <c r="Q304" t="s">
        <v>30</v>
      </c>
      <c r="R304" t="s">
        <v>30</v>
      </c>
      <c r="S304">
        <v>0</v>
      </c>
      <c r="T304" t="s">
        <v>30</v>
      </c>
      <c r="U304" t="s">
        <v>32</v>
      </c>
      <c r="V304" t="s">
        <v>32</v>
      </c>
      <c r="W304" t="s">
        <v>32</v>
      </c>
    </row>
    <row r="305" spans="1:23" x14ac:dyDescent="0.2">
      <c r="A305" t="s">
        <v>2990</v>
      </c>
      <c r="B305" t="s">
        <v>2990</v>
      </c>
      <c r="C305">
        <v>135</v>
      </c>
      <c r="D305">
        <v>73</v>
      </c>
      <c r="E305" t="s">
        <v>2991</v>
      </c>
      <c r="F305" t="s">
        <v>2992</v>
      </c>
      <c r="G305" t="s">
        <v>2993</v>
      </c>
      <c r="H305" t="s">
        <v>2994</v>
      </c>
      <c r="I305" t="s">
        <v>2995</v>
      </c>
      <c r="J305" t="s">
        <v>2996</v>
      </c>
      <c r="K305" t="s">
        <v>2997</v>
      </c>
      <c r="L305" t="s">
        <v>2998</v>
      </c>
      <c r="M305">
        <v>851</v>
      </c>
      <c r="N305">
        <v>10</v>
      </c>
      <c r="O305">
        <v>2.82</v>
      </c>
      <c r="P305" t="s">
        <v>2999</v>
      </c>
      <c r="Q305" t="s">
        <v>3000</v>
      </c>
      <c r="R305" t="s">
        <v>1208</v>
      </c>
      <c r="S305">
        <v>653</v>
      </c>
      <c r="T305" t="s">
        <v>3001</v>
      </c>
      <c r="U305" t="s">
        <v>576</v>
      </c>
      <c r="V305" t="s">
        <v>32</v>
      </c>
      <c r="W305" t="s">
        <v>32</v>
      </c>
    </row>
    <row r="306" spans="1:23" x14ac:dyDescent="0.2">
      <c r="A306" t="s">
        <v>3002</v>
      </c>
      <c r="B306" t="s">
        <v>3002</v>
      </c>
      <c r="C306">
        <v>126</v>
      </c>
      <c r="D306">
        <v>75</v>
      </c>
      <c r="E306" t="s">
        <v>3003</v>
      </c>
      <c r="F306" t="s">
        <v>3004</v>
      </c>
      <c r="G306" t="s">
        <v>3005</v>
      </c>
      <c r="H306" t="s">
        <v>3006</v>
      </c>
      <c r="I306" t="s">
        <v>219</v>
      </c>
      <c r="J306" t="s">
        <v>3007</v>
      </c>
      <c r="K306" t="s">
        <v>3008</v>
      </c>
      <c r="L306" t="s">
        <v>3009</v>
      </c>
      <c r="M306">
        <v>0</v>
      </c>
      <c r="N306">
        <v>0</v>
      </c>
      <c r="O306">
        <v>0</v>
      </c>
      <c r="P306" t="s">
        <v>3010</v>
      </c>
      <c r="Q306" t="s">
        <v>30</v>
      </c>
      <c r="R306" t="s">
        <v>30</v>
      </c>
      <c r="S306">
        <v>362</v>
      </c>
      <c r="T306" t="s">
        <v>3011</v>
      </c>
      <c r="U306" t="s">
        <v>32</v>
      </c>
      <c r="V306" t="s">
        <v>32</v>
      </c>
      <c r="W306" t="s">
        <v>32</v>
      </c>
    </row>
    <row r="307" spans="1:23" x14ac:dyDescent="0.2">
      <c r="A307" t="s">
        <v>3012</v>
      </c>
      <c r="B307" t="s">
        <v>3013</v>
      </c>
      <c r="C307">
        <v>70</v>
      </c>
      <c r="D307">
        <v>70</v>
      </c>
      <c r="E307" t="s">
        <v>3014</v>
      </c>
      <c r="F307" t="s">
        <v>2569</v>
      </c>
      <c r="G307" t="s">
        <v>3014</v>
      </c>
      <c r="H307" t="s">
        <v>2569</v>
      </c>
      <c r="I307" t="s">
        <v>1054</v>
      </c>
      <c r="J307" t="s">
        <v>3015</v>
      </c>
      <c r="K307" t="s">
        <v>3016</v>
      </c>
      <c r="L307" t="s">
        <v>3016</v>
      </c>
      <c r="M307">
        <v>424</v>
      </c>
      <c r="N307">
        <v>23</v>
      </c>
      <c r="O307">
        <v>4.7300000000000004</v>
      </c>
      <c r="P307" t="s">
        <v>3017</v>
      </c>
      <c r="Q307" t="s">
        <v>3018</v>
      </c>
      <c r="R307" t="s">
        <v>3019</v>
      </c>
      <c r="S307">
        <v>548</v>
      </c>
      <c r="T307" t="s">
        <v>154</v>
      </c>
      <c r="U307" t="s">
        <v>32</v>
      </c>
      <c r="V307" t="s">
        <v>32</v>
      </c>
      <c r="W307" t="s">
        <v>32</v>
      </c>
    </row>
    <row r="308" spans="1:23" x14ac:dyDescent="0.2">
      <c r="A308" t="s">
        <v>3020</v>
      </c>
      <c r="B308" t="s">
        <v>3021</v>
      </c>
      <c r="C308">
        <v>46</v>
      </c>
      <c r="D308">
        <v>46</v>
      </c>
      <c r="E308" t="s">
        <v>3022</v>
      </c>
      <c r="F308" t="s">
        <v>3023</v>
      </c>
      <c r="G308" t="s">
        <v>3022</v>
      </c>
      <c r="H308" t="s">
        <v>3023</v>
      </c>
      <c r="I308" t="s">
        <v>3024</v>
      </c>
      <c r="J308" t="s">
        <v>3025</v>
      </c>
      <c r="K308" t="s">
        <v>3026</v>
      </c>
      <c r="L308" t="s">
        <v>3026</v>
      </c>
      <c r="M308">
        <v>464</v>
      </c>
      <c r="N308">
        <v>63</v>
      </c>
      <c r="O308">
        <v>23.03</v>
      </c>
      <c r="P308" t="s">
        <v>3027</v>
      </c>
      <c r="Q308" t="s">
        <v>3028</v>
      </c>
      <c r="R308" t="s">
        <v>3029</v>
      </c>
      <c r="S308">
        <v>253</v>
      </c>
      <c r="T308" t="s">
        <v>3029</v>
      </c>
      <c r="U308" t="s">
        <v>32</v>
      </c>
      <c r="V308" t="s">
        <v>32</v>
      </c>
      <c r="W308" t="s">
        <v>32</v>
      </c>
    </row>
    <row r="309" spans="1:23" x14ac:dyDescent="0.2">
      <c r="A309" t="s">
        <v>3030</v>
      </c>
      <c r="B309" t="s">
        <v>3031</v>
      </c>
      <c r="C309">
        <v>49</v>
      </c>
      <c r="D309">
        <v>49</v>
      </c>
      <c r="E309" t="s">
        <v>3032</v>
      </c>
      <c r="F309" t="s">
        <v>3033</v>
      </c>
      <c r="G309" t="s">
        <v>3032</v>
      </c>
      <c r="H309" t="s">
        <v>3033</v>
      </c>
      <c r="I309" t="s">
        <v>1818</v>
      </c>
      <c r="J309" t="s">
        <v>3034</v>
      </c>
      <c r="K309" t="s">
        <v>3035</v>
      </c>
      <c r="L309" t="s">
        <v>3035</v>
      </c>
      <c r="M309">
        <v>0</v>
      </c>
      <c r="N309">
        <v>0</v>
      </c>
      <c r="O309">
        <v>0</v>
      </c>
      <c r="P309" t="s">
        <v>3036</v>
      </c>
      <c r="Q309" t="s">
        <v>30</v>
      </c>
      <c r="R309" t="s">
        <v>30</v>
      </c>
      <c r="S309">
        <v>78</v>
      </c>
      <c r="T309" t="s">
        <v>3037</v>
      </c>
      <c r="U309" t="s">
        <v>32</v>
      </c>
      <c r="V309" t="s">
        <v>32</v>
      </c>
      <c r="W309" t="s">
        <v>32</v>
      </c>
    </row>
    <row r="310" spans="1:23" x14ac:dyDescent="0.2">
      <c r="A310" t="s">
        <v>3038</v>
      </c>
      <c r="B310" t="s">
        <v>3039</v>
      </c>
      <c r="C310">
        <v>112</v>
      </c>
      <c r="D310">
        <v>80</v>
      </c>
      <c r="E310" t="s">
        <v>3040</v>
      </c>
      <c r="F310" t="s">
        <v>3041</v>
      </c>
      <c r="G310" t="s">
        <v>3042</v>
      </c>
      <c r="H310" t="s">
        <v>3043</v>
      </c>
      <c r="I310" t="s">
        <v>3044</v>
      </c>
      <c r="J310" t="s">
        <v>3045</v>
      </c>
      <c r="K310" t="s">
        <v>3046</v>
      </c>
      <c r="L310" t="s">
        <v>3047</v>
      </c>
      <c r="M310">
        <v>969</v>
      </c>
      <c r="N310">
        <v>69</v>
      </c>
      <c r="O310">
        <v>17.12</v>
      </c>
      <c r="P310" t="s">
        <v>3048</v>
      </c>
      <c r="Q310" t="s">
        <v>3049</v>
      </c>
      <c r="R310" t="s">
        <v>3050</v>
      </c>
      <c r="S310">
        <v>441</v>
      </c>
      <c r="T310" t="s">
        <v>3050</v>
      </c>
      <c r="U310" t="s">
        <v>32</v>
      </c>
      <c r="V310" t="s">
        <v>32</v>
      </c>
      <c r="W310" t="s">
        <v>32</v>
      </c>
    </row>
    <row r="311" spans="1:23" x14ac:dyDescent="0.2">
      <c r="A311" t="s">
        <v>3051</v>
      </c>
      <c r="B311" t="s">
        <v>3051</v>
      </c>
      <c r="C311">
        <v>1362</v>
      </c>
      <c r="D311">
        <v>63</v>
      </c>
      <c r="E311" t="s">
        <v>3052</v>
      </c>
      <c r="F311" t="s">
        <v>3053</v>
      </c>
      <c r="G311" t="s">
        <v>3054</v>
      </c>
      <c r="H311" t="s">
        <v>3055</v>
      </c>
      <c r="I311" t="s">
        <v>32</v>
      </c>
      <c r="J311" t="s">
        <v>3056</v>
      </c>
      <c r="K311" t="s">
        <v>630</v>
      </c>
      <c r="L311" t="s">
        <v>562</v>
      </c>
      <c r="M311">
        <v>0</v>
      </c>
      <c r="N311">
        <v>0</v>
      </c>
      <c r="O311">
        <v>0</v>
      </c>
      <c r="P311" t="s">
        <v>3057</v>
      </c>
      <c r="Q311" t="s">
        <v>30</v>
      </c>
      <c r="R311" t="s">
        <v>30</v>
      </c>
      <c r="S311">
        <v>0</v>
      </c>
      <c r="T311" t="s">
        <v>30</v>
      </c>
      <c r="U311" t="s">
        <v>3058</v>
      </c>
      <c r="V311" t="s">
        <v>32</v>
      </c>
      <c r="W311" t="s">
        <v>32</v>
      </c>
    </row>
    <row r="312" spans="1:23" x14ac:dyDescent="0.2">
      <c r="A312" t="s">
        <v>3059</v>
      </c>
      <c r="B312" t="s">
        <v>3060</v>
      </c>
      <c r="C312">
        <v>201</v>
      </c>
      <c r="D312">
        <v>43</v>
      </c>
      <c r="E312" t="s">
        <v>3061</v>
      </c>
      <c r="F312" t="s">
        <v>3062</v>
      </c>
      <c r="G312" t="s">
        <v>3063</v>
      </c>
      <c r="H312" t="s">
        <v>3064</v>
      </c>
      <c r="I312" t="s">
        <v>32</v>
      </c>
      <c r="J312" t="s">
        <v>3065</v>
      </c>
      <c r="K312" t="s">
        <v>3066</v>
      </c>
      <c r="L312" t="s">
        <v>3067</v>
      </c>
      <c r="M312">
        <v>443</v>
      </c>
      <c r="N312">
        <v>16</v>
      </c>
      <c r="O312">
        <v>1.8</v>
      </c>
      <c r="P312" t="s">
        <v>3068</v>
      </c>
      <c r="Q312" t="s">
        <v>3069</v>
      </c>
      <c r="R312" t="s">
        <v>3070</v>
      </c>
      <c r="S312">
        <v>392</v>
      </c>
      <c r="T312" t="s">
        <v>977</v>
      </c>
      <c r="U312" t="s">
        <v>32</v>
      </c>
      <c r="V312" t="s">
        <v>32</v>
      </c>
      <c r="W312" t="s">
        <v>32</v>
      </c>
    </row>
    <row r="313" spans="1:23" x14ac:dyDescent="0.2">
      <c r="A313" t="s">
        <v>3071</v>
      </c>
      <c r="B313" t="s">
        <v>3071</v>
      </c>
      <c r="C313">
        <v>2242</v>
      </c>
      <c r="D313">
        <v>65</v>
      </c>
      <c r="E313" t="s">
        <v>3072</v>
      </c>
      <c r="F313" t="s">
        <v>3073</v>
      </c>
      <c r="G313" t="s">
        <v>3074</v>
      </c>
      <c r="H313" t="s">
        <v>3075</v>
      </c>
      <c r="I313" t="s">
        <v>32</v>
      </c>
      <c r="J313" t="s">
        <v>3076</v>
      </c>
      <c r="K313" t="s">
        <v>30</v>
      </c>
      <c r="L313" t="s">
        <v>537</v>
      </c>
      <c r="M313">
        <v>0</v>
      </c>
      <c r="N313">
        <v>0</v>
      </c>
      <c r="O313">
        <v>0</v>
      </c>
      <c r="P313" t="s">
        <v>3077</v>
      </c>
      <c r="Q313" t="s">
        <v>30</v>
      </c>
      <c r="R313" t="s">
        <v>30</v>
      </c>
      <c r="S313">
        <v>0</v>
      </c>
      <c r="T313" t="s">
        <v>30</v>
      </c>
      <c r="U313" t="s">
        <v>84</v>
      </c>
      <c r="V313" t="s">
        <v>32</v>
      </c>
      <c r="W313" t="s">
        <v>32</v>
      </c>
    </row>
    <row r="314" spans="1:23" x14ac:dyDescent="0.2">
      <c r="A314" t="s">
        <v>3078</v>
      </c>
      <c r="B314" t="s">
        <v>3078</v>
      </c>
      <c r="C314">
        <v>1882</v>
      </c>
      <c r="D314">
        <v>52</v>
      </c>
      <c r="E314" t="s">
        <v>3079</v>
      </c>
      <c r="F314" t="s">
        <v>3080</v>
      </c>
      <c r="G314" t="s">
        <v>3081</v>
      </c>
      <c r="H314" t="s">
        <v>285</v>
      </c>
      <c r="I314" t="s">
        <v>32</v>
      </c>
      <c r="J314" t="s">
        <v>32</v>
      </c>
      <c r="K314" t="s">
        <v>30</v>
      </c>
      <c r="L314" t="s">
        <v>30</v>
      </c>
      <c r="M314">
        <v>0</v>
      </c>
      <c r="N314">
        <v>0</v>
      </c>
      <c r="O314">
        <v>0</v>
      </c>
      <c r="P314" t="s">
        <v>912</v>
      </c>
      <c r="Q314" t="s">
        <v>30</v>
      </c>
      <c r="R314" t="s">
        <v>30</v>
      </c>
      <c r="S314">
        <v>0</v>
      </c>
      <c r="T314" t="s">
        <v>30</v>
      </c>
      <c r="U314" t="s">
        <v>32</v>
      </c>
      <c r="V314" t="s">
        <v>32</v>
      </c>
      <c r="W314" t="s">
        <v>32</v>
      </c>
    </row>
    <row r="315" spans="1:23" x14ac:dyDescent="0.2">
      <c r="A315" t="s">
        <v>3082</v>
      </c>
      <c r="B315" t="s">
        <v>3082</v>
      </c>
      <c r="C315">
        <v>918</v>
      </c>
      <c r="D315">
        <v>63</v>
      </c>
      <c r="E315" t="s">
        <v>3083</v>
      </c>
      <c r="F315" t="s">
        <v>3084</v>
      </c>
      <c r="G315" t="s">
        <v>3085</v>
      </c>
      <c r="H315" t="s">
        <v>1075</v>
      </c>
      <c r="I315" t="s">
        <v>1153</v>
      </c>
      <c r="J315" t="s">
        <v>3086</v>
      </c>
      <c r="K315" t="s">
        <v>3087</v>
      </c>
      <c r="L315" t="s">
        <v>3088</v>
      </c>
      <c r="M315">
        <v>0</v>
      </c>
      <c r="N315">
        <v>0</v>
      </c>
      <c r="O315">
        <v>0</v>
      </c>
      <c r="P315" t="s">
        <v>2913</v>
      </c>
      <c r="Q315" t="s">
        <v>30</v>
      </c>
      <c r="R315" t="s">
        <v>30</v>
      </c>
      <c r="S315">
        <v>0</v>
      </c>
      <c r="T315" t="s">
        <v>30</v>
      </c>
      <c r="U315" t="s">
        <v>84</v>
      </c>
      <c r="V315" t="s">
        <v>32</v>
      </c>
      <c r="W315" t="s">
        <v>32</v>
      </c>
    </row>
    <row r="316" spans="1:23" x14ac:dyDescent="0.2">
      <c r="A316" t="s">
        <v>3089</v>
      </c>
      <c r="B316" t="s">
        <v>3089</v>
      </c>
      <c r="C316">
        <v>33</v>
      </c>
      <c r="D316">
        <v>33</v>
      </c>
      <c r="E316" t="s">
        <v>3090</v>
      </c>
      <c r="F316" t="s">
        <v>567</v>
      </c>
      <c r="G316" t="s">
        <v>3090</v>
      </c>
      <c r="H316" t="s">
        <v>567</v>
      </c>
      <c r="I316" t="s">
        <v>3091</v>
      </c>
      <c r="J316" t="s">
        <v>3092</v>
      </c>
      <c r="K316" t="s">
        <v>3093</v>
      </c>
      <c r="L316" t="s">
        <v>3093</v>
      </c>
      <c r="M316">
        <v>0</v>
      </c>
      <c r="N316">
        <v>0</v>
      </c>
      <c r="O316">
        <v>0</v>
      </c>
      <c r="P316" t="s">
        <v>3048</v>
      </c>
      <c r="Q316" t="s">
        <v>30</v>
      </c>
      <c r="R316" t="s">
        <v>30</v>
      </c>
      <c r="S316">
        <v>99</v>
      </c>
      <c r="T316" t="s">
        <v>2295</v>
      </c>
      <c r="U316" t="s">
        <v>32</v>
      </c>
      <c r="V316" t="s">
        <v>32</v>
      </c>
      <c r="W316" t="s">
        <v>32</v>
      </c>
    </row>
    <row r="317" spans="1:23" x14ac:dyDescent="0.2">
      <c r="A317" t="s">
        <v>3094</v>
      </c>
      <c r="B317" t="s">
        <v>3094</v>
      </c>
      <c r="C317">
        <v>51</v>
      </c>
      <c r="D317">
        <v>51</v>
      </c>
      <c r="E317" t="s">
        <v>3095</v>
      </c>
      <c r="F317" t="s">
        <v>3096</v>
      </c>
      <c r="G317" t="s">
        <v>3095</v>
      </c>
      <c r="H317" t="s">
        <v>3096</v>
      </c>
      <c r="I317" t="s">
        <v>3097</v>
      </c>
      <c r="J317" t="s">
        <v>3098</v>
      </c>
      <c r="K317" t="s">
        <v>3099</v>
      </c>
      <c r="L317" t="s">
        <v>3099</v>
      </c>
      <c r="M317">
        <v>243</v>
      </c>
      <c r="N317">
        <v>17</v>
      </c>
      <c r="O317">
        <v>0.88</v>
      </c>
      <c r="P317" t="s">
        <v>3100</v>
      </c>
      <c r="Q317" t="s">
        <v>3101</v>
      </c>
      <c r="R317" t="s">
        <v>3102</v>
      </c>
      <c r="S317">
        <v>314</v>
      </c>
      <c r="T317" t="s">
        <v>31</v>
      </c>
      <c r="U317" t="s">
        <v>32</v>
      </c>
      <c r="V317" t="s">
        <v>32</v>
      </c>
      <c r="W317" t="s">
        <v>32</v>
      </c>
    </row>
    <row r="318" spans="1:23" x14ac:dyDescent="0.2">
      <c r="A318" t="s">
        <v>3103</v>
      </c>
      <c r="B318" t="s">
        <v>3104</v>
      </c>
      <c r="C318">
        <v>52</v>
      </c>
      <c r="D318">
        <v>52</v>
      </c>
      <c r="E318" t="s">
        <v>3105</v>
      </c>
      <c r="F318" t="s">
        <v>3106</v>
      </c>
      <c r="G318" t="s">
        <v>3105</v>
      </c>
      <c r="H318" t="s">
        <v>3106</v>
      </c>
      <c r="I318" t="s">
        <v>3107</v>
      </c>
      <c r="J318" t="s">
        <v>3108</v>
      </c>
      <c r="K318" t="s">
        <v>3109</v>
      </c>
      <c r="L318" t="s">
        <v>3109</v>
      </c>
      <c r="M318">
        <v>511</v>
      </c>
      <c r="N318">
        <v>23</v>
      </c>
      <c r="O318">
        <v>5.68</v>
      </c>
      <c r="P318" t="s">
        <v>3110</v>
      </c>
      <c r="Q318" t="s">
        <v>3111</v>
      </c>
      <c r="R318" t="s">
        <v>964</v>
      </c>
      <c r="S318">
        <v>177</v>
      </c>
      <c r="T318" t="s">
        <v>965</v>
      </c>
      <c r="U318" t="s">
        <v>32</v>
      </c>
      <c r="V318" t="s">
        <v>32</v>
      </c>
      <c r="W318" t="s">
        <v>32</v>
      </c>
    </row>
    <row r="319" spans="1:23" x14ac:dyDescent="0.2">
      <c r="A319" t="s">
        <v>3112</v>
      </c>
      <c r="B319" t="s">
        <v>3112</v>
      </c>
      <c r="C319">
        <v>49</v>
      </c>
      <c r="D319">
        <v>49</v>
      </c>
      <c r="E319" t="s">
        <v>3113</v>
      </c>
      <c r="F319" t="s">
        <v>3114</v>
      </c>
      <c r="G319" t="s">
        <v>3113</v>
      </c>
      <c r="H319" t="s">
        <v>3114</v>
      </c>
      <c r="I319" t="s">
        <v>3115</v>
      </c>
      <c r="J319" t="s">
        <v>3116</v>
      </c>
      <c r="K319" t="s">
        <v>3117</v>
      </c>
      <c r="L319" t="s">
        <v>3117</v>
      </c>
      <c r="M319">
        <v>669</v>
      </c>
      <c r="N319">
        <v>80</v>
      </c>
      <c r="O319">
        <v>3.18</v>
      </c>
      <c r="P319" t="s">
        <v>3118</v>
      </c>
      <c r="Q319" t="s">
        <v>3119</v>
      </c>
      <c r="R319" t="s">
        <v>2391</v>
      </c>
      <c r="S319">
        <v>150</v>
      </c>
      <c r="T319" t="s">
        <v>2391</v>
      </c>
      <c r="U319" t="s">
        <v>32</v>
      </c>
      <c r="V319" t="s">
        <v>32</v>
      </c>
      <c r="W319" t="s">
        <v>32</v>
      </c>
    </row>
    <row r="320" spans="1:23" x14ac:dyDescent="0.2">
      <c r="A320" t="s">
        <v>3120</v>
      </c>
      <c r="B320" t="s">
        <v>3120</v>
      </c>
      <c r="C320">
        <v>57</v>
      </c>
      <c r="D320">
        <v>57</v>
      </c>
      <c r="E320" t="s">
        <v>3121</v>
      </c>
      <c r="F320" t="s">
        <v>3122</v>
      </c>
      <c r="G320" t="s">
        <v>3121</v>
      </c>
      <c r="H320" t="s">
        <v>3122</v>
      </c>
      <c r="I320" t="s">
        <v>2785</v>
      </c>
      <c r="J320" t="s">
        <v>3123</v>
      </c>
      <c r="K320" t="s">
        <v>3124</v>
      </c>
      <c r="L320" t="s">
        <v>3124</v>
      </c>
      <c r="M320">
        <v>0</v>
      </c>
      <c r="N320">
        <v>0</v>
      </c>
      <c r="O320">
        <v>0</v>
      </c>
      <c r="P320" t="s">
        <v>3125</v>
      </c>
      <c r="Q320" t="s">
        <v>30</v>
      </c>
      <c r="R320" t="s">
        <v>30</v>
      </c>
      <c r="S320">
        <v>107</v>
      </c>
      <c r="T320" t="s">
        <v>154</v>
      </c>
      <c r="U320" t="s">
        <v>32</v>
      </c>
      <c r="V320" t="s">
        <v>32</v>
      </c>
      <c r="W320" t="s">
        <v>32</v>
      </c>
    </row>
    <row r="321" spans="1:23" x14ac:dyDescent="0.2">
      <c r="A321" t="s">
        <v>3126</v>
      </c>
      <c r="B321" t="s">
        <v>3126</v>
      </c>
      <c r="C321">
        <v>136</v>
      </c>
      <c r="D321">
        <v>81</v>
      </c>
      <c r="E321" t="s">
        <v>3127</v>
      </c>
      <c r="F321" t="s">
        <v>3128</v>
      </c>
      <c r="G321" t="s">
        <v>3129</v>
      </c>
      <c r="H321" t="s">
        <v>3130</v>
      </c>
      <c r="I321" t="s">
        <v>479</v>
      </c>
      <c r="J321" t="s">
        <v>3131</v>
      </c>
      <c r="K321" t="s">
        <v>3132</v>
      </c>
      <c r="L321" t="s">
        <v>1258</v>
      </c>
      <c r="M321">
        <v>0</v>
      </c>
      <c r="N321">
        <v>0</v>
      </c>
      <c r="O321">
        <v>0</v>
      </c>
      <c r="P321" t="s">
        <v>3133</v>
      </c>
      <c r="Q321" t="s">
        <v>30</v>
      </c>
      <c r="R321" t="s">
        <v>30</v>
      </c>
      <c r="S321">
        <v>350</v>
      </c>
      <c r="T321" t="s">
        <v>3134</v>
      </c>
      <c r="U321" t="s">
        <v>32</v>
      </c>
      <c r="V321" t="s">
        <v>32</v>
      </c>
      <c r="W321" t="s">
        <v>32</v>
      </c>
    </row>
    <row r="322" spans="1:23" x14ac:dyDescent="0.2">
      <c r="A322" t="s">
        <v>3135</v>
      </c>
      <c r="B322" t="s">
        <v>3135</v>
      </c>
      <c r="C322">
        <v>107</v>
      </c>
      <c r="D322">
        <v>62</v>
      </c>
      <c r="E322" t="s">
        <v>3136</v>
      </c>
      <c r="F322" t="s">
        <v>3137</v>
      </c>
      <c r="G322" t="s">
        <v>3138</v>
      </c>
      <c r="H322" t="s">
        <v>3139</v>
      </c>
      <c r="I322" t="s">
        <v>3140</v>
      </c>
      <c r="J322" t="s">
        <v>3141</v>
      </c>
      <c r="K322" t="s">
        <v>2883</v>
      </c>
      <c r="L322" t="s">
        <v>3142</v>
      </c>
      <c r="M322">
        <v>0</v>
      </c>
      <c r="N322">
        <v>0</v>
      </c>
      <c r="O322">
        <v>0</v>
      </c>
      <c r="P322" t="s">
        <v>3143</v>
      </c>
      <c r="Q322" t="s">
        <v>30</v>
      </c>
      <c r="R322" t="s">
        <v>30</v>
      </c>
      <c r="S322">
        <v>305</v>
      </c>
      <c r="T322" t="s">
        <v>3144</v>
      </c>
      <c r="U322" t="s">
        <v>32</v>
      </c>
      <c r="V322" t="s">
        <v>32</v>
      </c>
      <c r="W322" t="s">
        <v>32</v>
      </c>
    </row>
    <row r="323" spans="1:23" x14ac:dyDescent="0.2">
      <c r="A323" t="s">
        <v>3145</v>
      </c>
      <c r="B323" t="s">
        <v>3146</v>
      </c>
      <c r="C323">
        <v>1323</v>
      </c>
      <c r="D323">
        <v>34</v>
      </c>
      <c r="E323" t="s">
        <v>3147</v>
      </c>
      <c r="F323" t="s">
        <v>3148</v>
      </c>
      <c r="G323" t="s">
        <v>3149</v>
      </c>
      <c r="H323" t="s">
        <v>3150</v>
      </c>
      <c r="I323" t="s">
        <v>32</v>
      </c>
      <c r="J323" t="s">
        <v>32</v>
      </c>
      <c r="K323" t="s">
        <v>30</v>
      </c>
      <c r="L323" t="s">
        <v>30</v>
      </c>
      <c r="M323">
        <v>208</v>
      </c>
      <c r="N323">
        <v>14</v>
      </c>
      <c r="O323">
        <v>1.83</v>
      </c>
      <c r="P323" t="s">
        <v>3151</v>
      </c>
      <c r="Q323" t="s">
        <v>3152</v>
      </c>
      <c r="R323" t="s">
        <v>3153</v>
      </c>
      <c r="S323">
        <v>0</v>
      </c>
      <c r="T323" t="s">
        <v>30</v>
      </c>
      <c r="U323" t="s">
        <v>32</v>
      </c>
      <c r="V323" t="s">
        <v>32</v>
      </c>
      <c r="W323" t="s">
        <v>32</v>
      </c>
    </row>
    <row r="324" spans="1:23" x14ac:dyDescent="0.2">
      <c r="A324" t="s">
        <v>3154</v>
      </c>
      <c r="B324" t="s">
        <v>3154</v>
      </c>
      <c r="C324">
        <v>120</v>
      </c>
      <c r="D324">
        <v>72</v>
      </c>
      <c r="E324" t="s">
        <v>3155</v>
      </c>
      <c r="F324" t="s">
        <v>3156</v>
      </c>
      <c r="G324" t="s">
        <v>3157</v>
      </c>
      <c r="H324" t="s">
        <v>2510</v>
      </c>
      <c r="I324" t="s">
        <v>3158</v>
      </c>
      <c r="J324" t="s">
        <v>3159</v>
      </c>
      <c r="K324" t="s">
        <v>3160</v>
      </c>
      <c r="L324" t="s">
        <v>3161</v>
      </c>
      <c r="M324">
        <v>1384</v>
      </c>
      <c r="N324">
        <v>17</v>
      </c>
      <c r="O324">
        <v>1.5</v>
      </c>
      <c r="P324" t="s">
        <v>2631</v>
      </c>
      <c r="Q324" t="s">
        <v>769</v>
      </c>
      <c r="R324" t="s">
        <v>3162</v>
      </c>
      <c r="S324">
        <v>606</v>
      </c>
      <c r="T324" t="s">
        <v>3163</v>
      </c>
      <c r="U324" t="s">
        <v>32</v>
      </c>
      <c r="V324" t="s">
        <v>32</v>
      </c>
      <c r="W324" t="s">
        <v>32</v>
      </c>
    </row>
    <row r="325" spans="1:23" x14ac:dyDescent="0.2">
      <c r="A325" t="s">
        <v>3164</v>
      </c>
      <c r="B325" t="s">
        <v>3164</v>
      </c>
      <c r="C325">
        <v>134</v>
      </c>
      <c r="D325">
        <v>33</v>
      </c>
      <c r="E325" t="s">
        <v>3165</v>
      </c>
      <c r="F325" t="s">
        <v>3166</v>
      </c>
      <c r="G325" t="s">
        <v>3167</v>
      </c>
      <c r="H325" t="s">
        <v>3168</v>
      </c>
      <c r="I325" t="s">
        <v>2427</v>
      </c>
      <c r="J325" t="s">
        <v>3169</v>
      </c>
      <c r="K325" t="s">
        <v>3170</v>
      </c>
      <c r="L325" t="s">
        <v>3171</v>
      </c>
      <c r="M325">
        <v>421</v>
      </c>
      <c r="N325">
        <v>12</v>
      </c>
      <c r="O325">
        <v>0.68</v>
      </c>
      <c r="P325" t="s">
        <v>3172</v>
      </c>
      <c r="Q325" t="s">
        <v>3173</v>
      </c>
      <c r="R325" t="s">
        <v>3174</v>
      </c>
      <c r="S325">
        <v>319</v>
      </c>
      <c r="T325" t="s">
        <v>3174</v>
      </c>
      <c r="U325" t="s">
        <v>32</v>
      </c>
      <c r="V325" t="s">
        <v>32</v>
      </c>
      <c r="W325" t="s">
        <v>32</v>
      </c>
    </row>
    <row r="326" spans="1:23" x14ac:dyDescent="0.2">
      <c r="A326" t="s">
        <v>3175</v>
      </c>
      <c r="B326" t="s">
        <v>3176</v>
      </c>
      <c r="C326">
        <v>131</v>
      </c>
      <c r="D326">
        <v>79</v>
      </c>
      <c r="E326" t="s">
        <v>3177</v>
      </c>
      <c r="F326" t="s">
        <v>3178</v>
      </c>
      <c r="G326" t="s">
        <v>3179</v>
      </c>
      <c r="H326" t="s">
        <v>3180</v>
      </c>
      <c r="I326" t="s">
        <v>3181</v>
      </c>
      <c r="J326" t="s">
        <v>3182</v>
      </c>
      <c r="K326" t="s">
        <v>3183</v>
      </c>
      <c r="L326" t="s">
        <v>2594</v>
      </c>
      <c r="M326">
        <v>856</v>
      </c>
      <c r="N326">
        <v>29</v>
      </c>
      <c r="O326">
        <v>5.8</v>
      </c>
      <c r="P326" t="s">
        <v>3184</v>
      </c>
      <c r="Q326" t="s">
        <v>3185</v>
      </c>
      <c r="R326" t="s">
        <v>1071</v>
      </c>
      <c r="S326">
        <v>374</v>
      </c>
      <c r="T326" t="s">
        <v>1071</v>
      </c>
      <c r="U326" t="s">
        <v>32</v>
      </c>
      <c r="V326" t="s">
        <v>32</v>
      </c>
      <c r="W326" t="s">
        <v>32</v>
      </c>
    </row>
    <row r="327" spans="1:23" x14ac:dyDescent="0.2">
      <c r="A327" t="s">
        <v>3186</v>
      </c>
      <c r="B327" t="s">
        <v>3186</v>
      </c>
      <c r="C327">
        <v>1858</v>
      </c>
      <c r="D327">
        <v>51</v>
      </c>
      <c r="E327" t="s">
        <v>3187</v>
      </c>
      <c r="F327" t="s">
        <v>3188</v>
      </c>
      <c r="G327" t="s">
        <v>3189</v>
      </c>
      <c r="H327" t="s">
        <v>3190</v>
      </c>
      <c r="I327" t="s">
        <v>3191</v>
      </c>
      <c r="J327" t="s">
        <v>32</v>
      </c>
      <c r="K327" t="s">
        <v>30</v>
      </c>
      <c r="L327" t="s">
        <v>30</v>
      </c>
      <c r="M327">
        <v>0</v>
      </c>
      <c r="N327">
        <v>0</v>
      </c>
      <c r="O327">
        <v>0</v>
      </c>
      <c r="P327" t="s">
        <v>3192</v>
      </c>
      <c r="Q327" t="s">
        <v>30</v>
      </c>
      <c r="R327" t="s">
        <v>30</v>
      </c>
      <c r="S327">
        <v>0</v>
      </c>
      <c r="T327" t="s">
        <v>30</v>
      </c>
      <c r="U327" t="s">
        <v>32</v>
      </c>
      <c r="V327" t="s">
        <v>32</v>
      </c>
      <c r="W327" t="s">
        <v>32</v>
      </c>
    </row>
    <row r="328" spans="1:23" x14ac:dyDescent="0.2">
      <c r="A328" t="s">
        <v>3193</v>
      </c>
      <c r="B328" t="s">
        <v>3193</v>
      </c>
      <c r="C328">
        <v>1355</v>
      </c>
      <c r="D328">
        <v>63</v>
      </c>
      <c r="E328" t="s">
        <v>3194</v>
      </c>
      <c r="F328" t="s">
        <v>3195</v>
      </c>
      <c r="G328" t="s">
        <v>3196</v>
      </c>
      <c r="H328" t="s">
        <v>3197</v>
      </c>
      <c r="I328" t="s">
        <v>32</v>
      </c>
      <c r="J328" t="s">
        <v>3198</v>
      </c>
      <c r="K328" t="s">
        <v>630</v>
      </c>
      <c r="L328" t="s">
        <v>1924</v>
      </c>
      <c r="M328">
        <v>0</v>
      </c>
      <c r="N328">
        <v>0</v>
      </c>
      <c r="O328">
        <v>0</v>
      </c>
      <c r="P328" t="s">
        <v>3199</v>
      </c>
      <c r="Q328" t="s">
        <v>30</v>
      </c>
      <c r="R328" t="s">
        <v>30</v>
      </c>
      <c r="S328">
        <v>0</v>
      </c>
      <c r="T328" t="s">
        <v>30</v>
      </c>
      <c r="U328" t="s">
        <v>32</v>
      </c>
      <c r="V328" t="s">
        <v>32</v>
      </c>
      <c r="W328" t="s">
        <v>32</v>
      </c>
    </row>
    <row r="329" spans="1:23" x14ac:dyDescent="0.2">
      <c r="A329" t="s">
        <v>3200</v>
      </c>
      <c r="B329" t="s">
        <v>3200</v>
      </c>
      <c r="C329">
        <v>188</v>
      </c>
      <c r="D329">
        <v>43</v>
      </c>
      <c r="E329" t="s">
        <v>3201</v>
      </c>
      <c r="F329" t="s">
        <v>3202</v>
      </c>
      <c r="G329" t="s">
        <v>3203</v>
      </c>
      <c r="H329" t="s">
        <v>3204</v>
      </c>
      <c r="I329" t="s">
        <v>639</v>
      </c>
      <c r="J329" t="s">
        <v>3205</v>
      </c>
      <c r="K329" t="s">
        <v>3206</v>
      </c>
      <c r="L329" t="s">
        <v>3207</v>
      </c>
      <c r="M329">
        <v>0</v>
      </c>
      <c r="N329">
        <v>0</v>
      </c>
      <c r="O329">
        <v>0</v>
      </c>
      <c r="P329" t="s">
        <v>1967</v>
      </c>
      <c r="Q329" t="s">
        <v>30</v>
      </c>
      <c r="R329" t="s">
        <v>30</v>
      </c>
      <c r="S329">
        <v>318</v>
      </c>
      <c r="T329" t="s">
        <v>3208</v>
      </c>
      <c r="U329" t="s">
        <v>32</v>
      </c>
      <c r="V329" t="s">
        <v>32</v>
      </c>
      <c r="W329" t="s">
        <v>32</v>
      </c>
    </row>
    <row r="330" spans="1:23" x14ac:dyDescent="0.2">
      <c r="A330" t="s">
        <v>3209</v>
      </c>
      <c r="B330" t="s">
        <v>3209</v>
      </c>
      <c r="C330">
        <v>2232</v>
      </c>
      <c r="D330">
        <v>65</v>
      </c>
      <c r="E330" t="s">
        <v>3210</v>
      </c>
      <c r="F330" t="s">
        <v>3211</v>
      </c>
      <c r="G330" t="s">
        <v>3212</v>
      </c>
      <c r="H330" t="s">
        <v>3213</v>
      </c>
      <c r="I330" t="s">
        <v>32</v>
      </c>
      <c r="J330" t="s">
        <v>32</v>
      </c>
      <c r="K330" t="s">
        <v>30</v>
      </c>
      <c r="L330" t="s">
        <v>30</v>
      </c>
      <c r="M330">
        <v>0</v>
      </c>
      <c r="N330">
        <v>0</v>
      </c>
      <c r="O330">
        <v>0</v>
      </c>
      <c r="P330" t="s">
        <v>484</v>
      </c>
      <c r="Q330" t="s">
        <v>30</v>
      </c>
      <c r="R330" t="s">
        <v>30</v>
      </c>
      <c r="S330">
        <v>0</v>
      </c>
      <c r="T330" t="s">
        <v>30</v>
      </c>
      <c r="U330" t="s">
        <v>32</v>
      </c>
      <c r="V330" t="s">
        <v>32</v>
      </c>
      <c r="W330" t="s">
        <v>32</v>
      </c>
    </row>
    <row r="331" spans="1:23" x14ac:dyDescent="0.2">
      <c r="A331" t="s">
        <v>3214</v>
      </c>
      <c r="B331" t="s">
        <v>3214</v>
      </c>
      <c r="C331">
        <v>1877</v>
      </c>
      <c r="D331">
        <v>51</v>
      </c>
      <c r="E331" t="s">
        <v>3215</v>
      </c>
      <c r="F331" t="s">
        <v>3216</v>
      </c>
      <c r="G331" t="s">
        <v>3217</v>
      </c>
      <c r="H331" t="s">
        <v>3218</v>
      </c>
      <c r="I331" t="s">
        <v>32</v>
      </c>
      <c r="J331" t="s">
        <v>3219</v>
      </c>
      <c r="K331" t="s">
        <v>200</v>
      </c>
      <c r="L331" t="s">
        <v>3220</v>
      </c>
      <c r="M331">
        <v>0</v>
      </c>
      <c r="N331">
        <v>0</v>
      </c>
      <c r="O331">
        <v>0</v>
      </c>
      <c r="P331" t="s">
        <v>3221</v>
      </c>
      <c r="Q331" t="s">
        <v>30</v>
      </c>
      <c r="R331" t="s">
        <v>30</v>
      </c>
      <c r="S331">
        <v>0</v>
      </c>
      <c r="T331" t="s">
        <v>30</v>
      </c>
      <c r="U331" t="s">
        <v>32</v>
      </c>
      <c r="V331" t="s">
        <v>32</v>
      </c>
      <c r="W331" t="s">
        <v>32</v>
      </c>
    </row>
    <row r="332" spans="1:23" x14ac:dyDescent="0.2">
      <c r="A332" t="s">
        <v>3222</v>
      </c>
      <c r="B332" t="s">
        <v>3223</v>
      </c>
      <c r="C332">
        <v>51</v>
      </c>
      <c r="D332">
        <v>51</v>
      </c>
      <c r="E332" t="s">
        <v>3224</v>
      </c>
      <c r="F332" t="s">
        <v>3225</v>
      </c>
      <c r="G332" t="s">
        <v>3224</v>
      </c>
      <c r="H332" t="s">
        <v>3225</v>
      </c>
      <c r="I332" t="s">
        <v>3226</v>
      </c>
      <c r="J332" t="s">
        <v>3227</v>
      </c>
      <c r="K332" t="s">
        <v>3228</v>
      </c>
      <c r="L332" t="s">
        <v>3228</v>
      </c>
      <c r="M332">
        <v>513</v>
      </c>
      <c r="N332">
        <v>10</v>
      </c>
      <c r="O332">
        <v>2.83</v>
      </c>
      <c r="P332" t="s">
        <v>3229</v>
      </c>
      <c r="Q332" t="s">
        <v>3230</v>
      </c>
      <c r="R332" t="s">
        <v>31</v>
      </c>
      <c r="S332">
        <v>240</v>
      </c>
      <c r="T332" t="s">
        <v>1695</v>
      </c>
      <c r="U332" t="s">
        <v>32</v>
      </c>
      <c r="V332" t="s">
        <v>32</v>
      </c>
      <c r="W332" t="s">
        <v>32</v>
      </c>
    </row>
    <row r="333" spans="1:23" x14ac:dyDescent="0.2">
      <c r="A333" t="s">
        <v>3231</v>
      </c>
      <c r="B333" t="s">
        <v>3231</v>
      </c>
      <c r="C333">
        <v>15</v>
      </c>
      <c r="D333">
        <v>15</v>
      </c>
      <c r="E333" t="s">
        <v>3232</v>
      </c>
      <c r="F333" t="s">
        <v>3233</v>
      </c>
      <c r="G333" t="s">
        <v>3232</v>
      </c>
      <c r="H333" t="s">
        <v>3233</v>
      </c>
      <c r="I333" t="s">
        <v>3234</v>
      </c>
      <c r="J333" t="s">
        <v>3235</v>
      </c>
      <c r="K333" t="s">
        <v>3236</v>
      </c>
      <c r="L333" t="s">
        <v>3236</v>
      </c>
      <c r="M333">
        <v>0</v>
      </c>
      <c r="N333">
        <v>0</v>
      </c>
      <c r="O333">
        <v>0</v>
      </c>
      <c r="P333" t="s">
        <v>3237</v>
      </c>
      <c r="Q333" t="s">
        <v>30</v>
      </c>
      <c r="R333" t="s">
        <v>30</v>
      </c>
      <c r="S333">
        <v>48</v>
      </c>
      <c r="T333" t="s">
        <v>3238</v>
      </c>
      <c r="U333" t="s">
        <v>32</v>
      </c>
      <c r="V333" t="s">
        <v>32</v>
      </c>
      <c r="W333" t="s">
        <v>32</v>
      </c>
    </row>
    <row r="334" spans="1:23" x14ac:dyDescent="0.2">
      <c r="A334" t="s">
        <v>3239</v>
      </c>
      <c r="B334" t="s">
        <v>3240</v>
      </c>
      <c r="C334">
        <v>121</v>
      </c>
      <c r="D334">
        <v>44</v>
      </c>
      <c r="E334" t="s">
        <v>3241</v>
      </c>
      <c r="F334" t="s">
        <v>3242</v>
      </c>
      <c r="G334" t="s">
        <v>3243</v>
      </c>
      <c r="H334" t="s">
        <v>3244</v>
      </c>
      <c r="I334" t="s">
        <v>3245</v>
      </c>
      <c r="J334" t="s">
        <v>3246</v>
      </c>
      <c r="K334" t="s">
        <v>513</v>
      </c>
      <c r="L334" t="s">
        <v>3247</v>
      </c>
      <c r="M334">
        <v>238</v>
      </c>
      <c r="N334">
        <v>42</v>
      </c>
      <c r="O334">
        <v>70.319999999999993</v>
      </c>
      <c r="P334" t="s">
        <v>3248</v>
      </c>
      <c r="Q334" t="s">
        <v>3249</v>
      </c>
      <c r="R334" t="s">
        <v>3250</v>
      </c>
      <c r="S334">
        <v>301</v>
      </c>
      <c r="T334" t="s">
        <v>3250</v>
      </c>
      <c r="U334" t="s">
        <v>32</v>
      </c>
      <c r="V334" t="s">
        <v>32</v>
      </c>
      <c r="W334" t="s">
        <v>32</v>
      </c>
    </row>
    <row r="335" spans="1:23" x14ac:dyDescent="0.2">
      <c r="A335" t="s">
        <v>3251</v>
      </c>
      <c r="B335" t="s">
        <v>3251</v>
      </c>
      <c r="C335">
        <v>94</v>
      </c>
      <c r="D335">
        <v>13</v>
      </c>
      <c r="E335" t="s">
        <v>3252</v>
      </c>
      <c r="F335" t="s">
        <v>3253</v>
      </c>
      <c r="G335" t="s">
        <v>3254</v>
      </c>
      <c r="H335" t="s">
        <v>3255</v>
      </c>
      <c r="I335" t="s">
        <v>742</v>
      </c>
      <c r="J335" t="s">
        <v>3256</v>
      </c>
      <c r="K335" t="s">
        <v>3257</v>
      </c>
      <c r="L335" t="s">
        <v>3258</v>
      </c>
      <c r="M335">
        <v>0</v>
      </c>
      <c r="N335">
        <v>0</v>
      </c>
      <c r="O335">
        <v>0</v>
      </c>
      <c r="P335" t="s">
        <v>3259</v>
      </c>
      <c r="Q335" t="s">
        <v>30</v>
      </c>
      <c r="R335" t="s">
        <v>30</v>
      </c>
      <c r="S335">
        <v>148</v>
      </c>
      <c r="T335" t="s">
        <v>3260</v>
      </c>
      <c r="U335" t="s">
        <v>32</v>
      </c>
      <c r="V335" t="s">
        <v>32</v>
      </c>
      <c r="W335" t="s">
        <v>32</v>
      </c>
    </row>
    <row r="336" spans="1:23" x14ac:dyDescent="0.2">
      <c r="A336" t="s">
        <v>3261</v>
      </c>
      <c r="B336" t="s">
        <v>3262</v>
      </c>
      <c r="C336">
        <v>1270</v>
      </c>
      <c r="D336">
        <v>34</v>
      </c>
      <c r="E336" t="s">
        <v>3263</v>
      </c>
      <c r="F336" t="s">
        <v>3264</v>
      </c>
      <c r="G336" t="s">
        <v>3265</v>
      </c>
      <c r="H336" t="s">
        <v>3266</v>
      </c>
      <c r="I336" t="s">
        <v>1153</v>
      </c>
      <c r="J336" t="s">
        <v>3267</v>
      </c>
      <c r="K336" t="s">
        <v>191</v>
      </c>
      <c r="L336" t="s">
        <v>3268</v>
      </c>
      <c r="M336">
        <v>283</v>
      </c>
      <c r="N336">
        <v>37</v>
      </c>
      <c r="O336">
        <v>1.9</v>
      </c>
      <c r="P336" t="s">
        <v>3269</v>
      </c>
      <c r="Q336" t="s">
        <v>3270</v>
      </c>
      <c r="R336" t="s">
        <v>3271</v>
      </c>
      <c r="S336">
        <v>0</v>
      </c>
      <c r="T336" t="s">
        <v>30</v>
      </c>
      <c r="U336" t="s">
        <v>32</v>
      </c>
      <c r="V336" t="s">
        <v>32</v>
      </c>
      <c r="W336" t="s">
        <v>32</v>
      </c>
    </row>
    <row r="337" spans="1:23" x14ac:dyDescent="0.2">
      <c r="A337" t="s">
        <v>3272</v>
      </c>
      <c r="B337" t="s">
        <v>3272</v>
      </c>
      <c r="C337">
        <v>49</v>
      </c>
      <c r="D337">
        <v>49</v>
      </c>
      <c r="E337" t="s">
        <v>3273</v>
      </c>
      <c r="F337" t="s">
        <v>3274</v>
      </c>
      <c r="G337" t="s">
        <v>3273</v>
      </c>
      <c r="H337" t="s">
        <v>3274</v>
      </c>
      <c r="I337" t="s">
        <v>3275</v>
      </c>
      <c r="J337" t="s">
        <v>3276</v>
      </c>
      <c r="K337" t="s">
        <v>3277</v>
      </c>
      <c r="L337" t="s">
        <v>3277</v>
      </c>
      <c r="M337">
        <v>646</v>
      </c>
      <c r="N337">
        <v>0</v>
      </c>
      <c r="O337">
        <v>0</v>
      </c>
      <c r="P337" t="s">
        <v>3278</v>
      </c>
      <c r="Q337" t="s">
        <v>30</v>
      </c>
      <c r="R337" t="s">
        <v>2391</v>
      </c>
      <c r="S337">
        <v>171</v>
      </c>
      <c r="T337" t="s">
        <v>2391</v>
      </c>
      <c r="U337" t="s">
        <v>32</v>
      </c>
      <c r="V337" t="s">
        <v>32</v>
      </c>
      <c r="W337" t="s">
        <v>32</v>
      </c>
    </row>
    <row r="338" spans="1:23" x14ac:dyDescent="0.2">
      <c r="A338" t="s">
        <v>3279</v>
      </c>
      <c r="B338" t="s">
        <v>3279</v>
      </c>
      <c r="C338">
        <v>108</v>
      </c>
      <c r="D338">
        <v>74</v>
      </c>
      <c r="E338" t="s">
        <v>3280</v>
      </c>
      <c r="F338" t="s">
        <v>3281</v>
      </c>
      <c r="G338" t="s">
        <v>3282</v>
      </c>
      <c r="H338" t="s">
        <v>3283</v>
      </c>
      <c r="I338" t="s">
        <v>3284</v>
      </c>
      <c r="J338" t="s">
        <v>3285</v>
      </c>
      <c r="K338" t="s">
        <v>3286</v>
      </c>
      <c r="L338" t="s">
        <v>3287</v>
      </c>
      <c r="M338">
        <v>879</v>
      </c>
      <c r="N338">
        <v>8</v>
      </c>
      <c r="O338">
        <v>3.05</v>
      </c>
      <c r="P338" t="s">
        <v>1130</v>
      </c>
      <c r="Q338" t="s">
        <v>3288</v>
      </c>
      <c r="R338" t="s">
        <v>3289</v>
      </c>
      <c r="S338">
        <v>267</v>
      </c>
      <c r="T338" t="s">
        <v>621</v>
      </c>
      <c r="U338" t="s">
        <v>3290</v>
      </c>
      <c r="V338" t="s">
        <v>32</v>
      </c>
      <c r="W338" t="s">
        <v>32</v>
      </c>
    </row>
    <row r="339" spans="1:23" x14ac:dyDescent="0.2">
      <c r="A339" t="s">
        <v>3291</v>
      </c>
      <c r="B339" t="s">
        <v>3291</v>
      </c>
      <c r="C339">
        <v>47</v>
      </c>
      <c r="D339">
        <v>47</v>
      </c>
      <c r="E339" t="s">
        <v>3292</v>
      </c>
      <c r="F339" t="s">
        <v>3293</v>
      </c>
      <c r="G339" t="s">
        <v>3292</v>
      </c>
      <c r="H339" t="s">
        <v>3293</v>
      </c>
      <c r="I339" t="s">
        <v>3294</v>
      </c>
      <c r="J339" t="s">
        <v>3295</v>
      </c>
      <c r="K339" t="s">
        <v>2952</v>
      </c>
      <c r="L339" t="s">
        <v>2952</v>
      </c>
      <c r="M339">
        <v>672</v>
      </c>
      <c r="N339">
        <v>14</v>
      </c>
      <c r="O339">
        <v>1.05</v>
      </c>
      <c r="P339" t="s">
        <v>2696</v>
      </c>
      <c r="Q339" t="s">
        <v>3296</v>
      </c>
      <c r="R339" t="s">
        <v>3297</v>
      </c>
      <c r="S339">
        <v>123</v>
      </c>
      <c r="T339" t="s">
        <v>3298</v>
      </c>
      <c r="U339" t="s">
        <v>32</v>
      </c>
      <c r="V339" t="s">
        <v>32</v>
      </c>
      <c r="W339" t="s">
        <v>32</v>
      </c>
    </row>
    <row r="340" spans="1:23" x14ac:dyDescent="0.2">
      <c r="A340" t="s">
        <v>3299</v>
      </c>
      <c r="B340" t="s">
        <v>3300</v>
      </c>
      <c r="C340">
        <v>193</v>
      </c>
      <c r="D340">
        <v>43</v>
      </c>
      <c r="E340" t="s">
        <v>3301</v>
      </c>
      <c r="F340" t="s">
        <v>3302</v>
      </c>
      <c r="G340" t="s">
        <v>3303</v>
      </c>
      <c r="H340" t="s">
        <v>3304</v>
      </c>
      <c r="I340" t="s">
        <v>720</v>
      </c>
      <c r="J340" t="s">
        <v>3305</v>
      </c>
      <c r="K340" t="s">
        <v>3306</v>
      </c>
      <c r="L340" t="s">
        <v>3307</v>
      </c>
      <c r="M340">
        <v>409</v>
      </c>
      <c r="N340">
        <v>1</v>
      </c>
      <c r="O340">
        <v>0.03</v>
      </c>
      <c r="P340" t="s">
        <v>654</v>
      </c>
      <c r="Q340" t="s">
        <v>201</v>
      </c>
      <c r="R340" t="s">
        <v>3308</v>
      </c>
      <c r="S340">
        <v>109</v>
      </c>
      <c r="T340" t="s">
        <v>3309</v>
      </c>
      <c r="U340" t="s">
        <v>84</v>
      </c>
      <c r="V340" t="s">
        <v>32</v>
      </c>
      <c r="W340" t="s">
        <v>32</v>
      </c>
    </row>
    <row r="341" spans="1:23" x14ac:dyDescent="0.2">
      <c r="A341" t="s">
        <v>3310</v>
      </c>
      <c r="B341" t="s">
        <v>3310</v>
      </c>
      <c r="C341">
        <v>45</v>
      </c>
      <c r="D341">
        <v>45</v>
      </c>
      <c r="E341" t="s">
        <v>3311</v>
      </c>
      <c r="F341" t="s">
        <v>3312</v>
      </c>
      <c r="G341" t="s">
        <v>3311</v>
      </c>
      <c r="H341" t="s">
        <v>3312</v>
      </c>
      <c r="I341" t="s">
        <v>3313</v>
      </c>
      <c r="J341" t="s">
        <v>3314</v>
      </c>
      <c r="K341" t="s">
        <v>3315</v>
      </c>
      <c r="L341" t="s">
        <v>3315</v>
      </c>
      <c r="M341">
        <v>717</v>
      </c>
      <c r="N341">
        <v>1</v>
      </c>
      <c r="O341">
        <v>0.02</v>
      </c>
      <c r="P341" t="s">
        <v>3316</v>
      </c>
      <c r="Q341" t="s">
        <v>173</v>
      </c>
      <c r="R341" t="s">
        <v>3317</v>
      </c>
      <c r="S341">
        <v>285</v>
      </c>
      <c r="T341" t="s">
        <v>3317</v>
      </c>
      <c r="U341" t="s">
        <v>32</v>
      </c>
      <c r="V341" t="s">
        <v>32</v>
      </c>
      <c r="W341" t="s">
        <v>32</v>
      </c>
    </row>
    <row r="342" spans="1:23" x14ac:dyDescent="0.2">
      <c r="A342" t="s">
        <v>3318</v>
      </c>
      <c r="B342" t="s">
        <v>3318</v>
      </c>
      <c r="C342">
        <v>1025</v>
      </c>
      <c r="D342">
        <v>65</v>
      </c>
      <c r="E342" t="s">
        <v>3319</v>
      </c>
      <c r="F342" t="s">
        <v>3320</v>
      </c>
      <c r="G342" t="s">
        <v>3321</v>
      </c>
      <c r="H342" t="s">
        <v>3322</v>
      </c>
      <c r="I342" t="s">
        <v>32</v>
      </c>
      <c r="J342" t="s">
        <v>3323</v>
      </c>
      <c r="K342" t="s">
        <v>1012</v>
      </c>
      <c r="L342" t="s">
        <v>3324</v>
      </c>
      <c r="M342">
        <v>0</v>
      </c>
      <c r="N342">
        <v>0</v>
      </c>
      <c r="O342">
        <v>0</v>
      </c>
      <c r="P342" t="s">
        <v>3325</v>
      </c>
      <c r="Q342" t="s">
        <v>30</v>
      </c>
      <c r="R342" t="s">
        <v>30</v>
      </c>
      <c r="S342">
        <v>0</v>
      </c>
      <c r="T342" t="s">
        <v>30</v>
      </c>
      <c r="U342" t="s">
        <v>3326</v>
      </c>
      <c r="V342" t="s">
        <v>32</v>
      </c>
      <c r="W342" t="s">
        <v>32</v>
      </c>
    </row>
    <row r="343" spans="1:23" x14ac:dyDescent="0.2">
      <c r="A343" t="s">
        <v>3327</v>
      </c>
      <c r="B343" t="s">
        <v>3328</v>
      </c>
      <c r="C343">
        <v>151</v>
      </c>
      <c r="D343">
        <v>86</v>
      </c>
      <c r="E343" t="s">
        <v>3329</v>
      </c>
      <c r="F343" t="s">
        <v>3330</v>
      </c>
      <c r="G343" t="s">
        <v>3331</v>
      </c>
      <c r="H343" t="s">
        <v>3332</v>
      </c>
      <c r="I343" t="s">
        <v>138</v>
      </c>
      <c r="J343" t="s">
        <v>3333</v>
      </c>
      <c r="K343" t="s">
        <v>1267</v>
      </c>
      <c r="L343" t="s">
        <v>3334</v>
      </c>
      <c r="M343">
        <v>1056</v>
      </c>
      <c r="N343">
        <v>103</v>
      </c>
      <c r="O343">
        <v>99.57</v>
      </c>
      <c r="P343" t="s">
        <v>2789</v>
      </c>
      <c r="Q343" t="s">
        <v>3335</v>
      </c>
      <c r="R343" t="s">
        <v>3336</v>
      </c>
      <c r="S343">
        <v>551</v>
      </c>
      <c r="T343" t="s">
        <v>3336</v>
      </c>
      <c r="U343" t="s">
        <v>32</v>
      </c>
      <c r="V343" t="s">
        <v>32</v>
      </c>
      <c r="W343" t="s">
        <v>32</v>
      </c>
    </row>
    <row r="344" spans="1:23" x14ac:dyDescent="0.2">
      <c r="A344" t="s">
        <v>3337</v>
      </c>
      <c r="B344" t="s">
        <v>3337</v>
      </c>
      <c r="C344">
        <v>207</v>
      </c>
      <c r="D344">
        <v>44</v>
      </c>
      <c r="E344" t="s">
        <v>3338</v>
      </c>
      <c r="F344" t="s">
        <v>3339</v>
      </c>
      <c r="G344" t="s">
        <v>3340</v>
      </c>
      <c r="H344" t="s">
        <v>3341</v>
      </c>
      <c r="I344" t="s">
        <v>3342</v>
      </c>
      <c r="J344" t="s">
        <v>3343</v>
      </c>
      <c r="K344" t="s">
        <v>3344</v>
      </c>
      <c r="L344" t="s">
        <v>3345</v>
      </c>
      <c r="M344">
        <v>176</v>
      </c>
      <c r="N344">
        <v>0</v>
      </c>
      <c r="O344">
        <v>0</v>
      </c>
      <c r="P344" t="s">
        <v>3346</v>
      </c>
      <c r="Q344" t="s">
        <v>30</v>
      </c>
      <c r="R344" t="s">
        <v>3347</v>
      </c>
      <c r="S344">
        <v>476</v>
      </c>
      <c r="T344" t="s">
        <v>3348</v>
      </c>
      <c r="U344" t="s">
        <v>32</v>
      </c>
      <c r="V344" t="s">
        <v>32</v>
      </c>
      <c r="W344" t="s">
        <v>32</v>
      </c>
    </row>
    <row r="345" spans="1:23" x14ac:dyDescent="0.2">
      <c r="A345" t="s">
        <v>3349</v>
      </c>
      <c r="B345" t="s">
        <v>3349</v>
      </c>
      <c r="C345">
        <v>144</v>
      </c>
      <c r="D345">
        <v>82</v>
      </c>
      <c r="E345" t="s">
        <v>3350</v>
      </c>
      <c r="F345" t="s">
        <v>3351</v>
      </c>
      <c r="G345" t="s">
        <v>3352</v>
      </c>
      <c r="H345" t="s">
        <v>3353</v>
      </c>
      <c r="I345" t="s">
        <v>3354</v>
      </c>
      <c r="J345" t="s">
        <v>3355</v>
      </c>
      <c r="K345" t="s">
        <v>3356</v>
      </c>
      <c r="L345" t="s">
        <v>3357</v>
      </c>
      <c r="M345">
        <v>0</v>
      </c>
      <c r="N345">
        <v>0</v>
      </c>
      <c r="O345">
        <v>0</v>
      </c>
      <c r="P345" t="s">
        <v>3358</v>
      </c>
      <c r="Q345" t="s">
        <v>30</v>
      </c>
      <c r="R345" t="s">
        <v>30</v>
      </c>
      <c r="S345">
        <v>347</v>
      </c>
      <c r="T345" t="s">
        <v>3359</v>
      </c>
      <c r="U345" t="s">
        <v>32</v>
      </c>
      <c r="V345" t="s">
        <v>32</v>
      </c>
      <c r="W345" t="s">
        <v>32</v>
      </c>
    </row>
    <row r="346" spans="1:23" x14ac:dyDescent="0.2">
      <c r="A346" t="s">
        <v>3360</v>
      </c>
      <c r="B346" t="s">
        <v>3360</v>
      </c>
      <c r="C346">
        <v>88</v>
      </c>
      <c r="D346">
        <v>37</v>
      </c>
      <c r="E346" t="s">
        <v>3361</v>
      </c>
      <c r="F346" t="s">
        <v>3362</v>
      </c>
      <c r="G346" t="s">
        <v>3363</v>
      </c>
      <c r="H346" t="s">
        <v>3364</v>
      </c>
      <c r="I346" t="s">
        <v>3365</v>
      </c>
      <c r="J346" t="s">
        <v>3366</v>
      </c>
      <c r="K346" t="s">
        <v>3367</v>
      </c>
      <c r="L346" t="s">
        <v>3368</v>
      </c>
      <c r="M346">
        <v>0</v>
      </c>
      <c r="N346">
        <v>0</v>
      </c>
      <c r="O346">
        <v>0</v>
      </c>
      <c r="P346" t="s">
        <v>3369</v>
      </c>
      <c r="Q346" t="s">
        <v>30</v>
      </c>
      <c r="R346" t="s">
        <v>30</v>
      </c>
      <c r="S346">
        <v>200</v>
      </c>
      <c r="T346" t="s">
        <v>3370</v>
      </c>
      <c r="U346" t="s">
        <v>32</v>
      </c>
      <c r="V346" t="s">
        <v>32</v>
      </c>
      <c r="W346" t="s">
        <v>32</v>
      </c>
    </row>
    <row r="347" spans="1:23" x14ac:dyDescent="0.2">
      <c r="A347" t="s">
        <v>3371</v>
      </c>
      <c r="B347" t="s">
        <v>3371</v>
      </c>
      <c r="C347">
        <v>144</v>
      </c>
      <c r="D347">
        <v>43</v>
      </c>
      <c r="E347" t="s">
        <v>3372</v>
      </c>
      <c r="F347" t="s">
        <v>3373</v>
      </c>
      <c r="G347" t="s">
        <v>3374</v>
      </c>
      <c r="H347" t="s">
        <v>3375</v>
      </c>
      <c r="I347" t="s">
        <v>2316</v>
      </c>
      <c r="J347" t="s">
        <v>3376</v>
      </c>
      <c r="K347" t="s">
        <v>3377</v>
      </c>
      <c r="L347" t="s">
        <v>3378</v>
      </c>
      <c r="M347">
        <v>326</v>
      </c>
      <c r="N347">
        <v>29</v>
      </c>
      <c r="O347">
        <v>3.22</v>
      </c>
      <c r="P347" t="s">
        <v>3379</v>
      </c>
      <c r="Q347" t="s">
        <v>3380</v>
      </c>
      <c r="R347" t="s">
        <v>3289</v>
      </c>
      <c r="S347">
        <v>430</v>
      </c>
      <c r="T347" t="s">
        <v>3289</v>
      </c>
      <c r="U347" t="s">
        <v>32</v>
      </c>
      <c r="V347" t="s">
        <v>32</v>
      </c>
      <c r="W347" t="s">
        <v>32</v>
      </c>
    </row>
    <row r="348" spans="1:23" x14ac:dyDescent="0.2">
      <c r="A348" t="s">
        <v>3381</v>
      </c>
      <c r="B348" t="s">
        <v>3382</v>
      </c>
      <c r="C348">
        <v>1318</v>
      </c>
      <c r="D348">
        <v>63</v>
      </c>
      <c r="E348" t="s">
        <v>3383</v>
      </c>
      <c r="F348" t="s">
        <v>3384</v>
      </c>
      <c r="G348" t="s">
        <v>3385</v>
      </c>
      <c r="H348" t="s">
        <v>940</v>
      </c>
      <c r="I348" t="s">
        <v>3386</v>
      </c>
      <c r="J348" t="s">
        <v>3387</v>
      </c>
      <c r="K348" t="s">
        <v>1914</v>
      </c>
      <c r="L348" t="s">
        <v>3388</v>
      </c>
      <c r="M348">
        <v>0</v>
      </c>
      <c r="N348">
        <v>0</v>
      </c>
      <c r="O348">
        <v>0</v>
      </c>
      <c r="P348" t="s">
        <v>2576</v>
      </c>
      <c r="Q348" t="s">
        <v>30</v>
      </c>
      <c r="R348" t="s">
        <v>30</v>
      </c>
      <c r="S348">
        <v>0</v>
      </c>
      <c r="T348" t="s">
        <v>30</v>
      </c>
      <c r="U348" t="s">
        <v>32</v>
      </c>
      <c r="V348" t="s">
        <v>32</v>
      </c>
      <c r="W348" t="s">
        <v>32</v>
      </c>
    </row>
    <row r="349" spans="1:23" x14ac:dyDescent="0.2">
      <c r="A349" t="s">
        <v>3389</v>
      </c>
      <c r="B349" t="s">
        <v>3390</v>
      </c>
      <c r="C349">
        <v>27</v>
      </c>
      <c r="D349">
        <v>27</v>
      </c>
      <c r="E349" t="s">
        <v>3391</v>
      </c>
      <c r="F349" t="s">
        <v>3392</v>
      </c>
      <c r="G349" t="s">
        <v>3391</v>
      </c>
      <c r="H349" t="s">
        <v>3392</v>
      </c>
      <c r="I349" t="s">
        <v>369</v>
      </c>
      <c r="J349" t="s">
        <v>3393</v>
      </c>
      <c r="K349" t="s">
        <v>3394</v>
      </c>
      <c r="L349" t="s">
        <v>3394</v>
      </c>
      <c r="M349">
        <v>217</v>
      </c>
      <c r="N349">
        <v>35</v>
      </c>
      <c r="O349">
        <v>3.65</v>
      </c>
      <c r="P349" t="s">
        <v>3395</v>
      </c>
      <c r="Q349" t="s">
        <v>3396</v>
      </c>
      <c r="R349" t="s">
        <v>154</v>
      </c>
      <c r="S349">
        <v>176</v>
      </c>
      <c r="T349" t="s">
        <v>154</v>
      </c>
      <c r="U349" t="s">
        <v>32</v>
      </c>
      <c r="V349" t="s">
        <v>32</v>
      </c>
      <c r="W349" t="s">
        <v>32</v>
      </c>
    </row>
    <row r="350" spans="1:23" x14ac:dyDescent="0.2">
      <c r="A350" t="s">
        <v>3397</v>
      </c>
      <c r="B350" t="s">
        <v>3397</v>
      </c>
      <c r="C350">
        <v>120</v>
      </c>
      <c r="D350">
        <v>73</v>
      </c>
      <c r="E350" t="s">
        <v>3398</v>
      </c>
      <c r="F350" t="s">
        <v>3399</v>
      </c>
      <c r="G350" t="s">
        <v>3400</v>
      </c>
      <c r="H350" t="s">
        <v>3401</v>
      </c>
      <c r="I350" t="s">
        <v>3402</v>
      </c>
      <c r="J350" t="s">
        <v>3403</v>
      </c>
      <c r="K350" t="s">
        <v>3404</v>
      </c>
      <c r="L350" t="s">
        <v>3405</v>
      </c>
      <c r="M350">
        <v>1129</v>
      </c>
      <c r="N350">
        <v>231</v>
      </c>
      <c r="O350">
        <v>28.98</v>
      </c>
      <c r="P350" t="s">
        <v>3406</v>
      </c>
      <c r="Q350" t="s">
        <v>3407</v>
      </c>
      <c r="R350" t="s">
        <v>3408</v>
      </c>
      <c r="S350">
        <v>329</v>
      </c>
      <c r="T350" t="s">
        <v>3409</v>
      </c>
      <c r="U350" t="s">
        <v>32</v>
      </c>
      <c r="V350" t="s">
        <v>32</v>
      </c>
      <c r="W350" t="s">
        <v>32</v>
      </c>
    </row>
    <row r="351" spans="1:23" x14ac:dyDescent="0.2">
      <c r="A351" t="s">
        <v>3410</v>
      </c>
      <c r="B351" t="s">
        <v>3410</v>
      </c>
      <c r="C351">
        <v>35</v>
      </c>
      <c r="D351">
        <v>35</v>
      </c>
      <c r="E351" t="s">
        <v>3411</v>
      </c>
      <c r="F351" t="s">
        <v>3412</v>
      </c>
      <c r="G351" t="s">
        <v>3411</v>
      </c>
      <c r="H351" t="s">
        <v>3412</v>
      </c>
      <c r="I351" t="s">
        <v>3413</v>
      </c>
      <c r="J351" t="s">
        <v>3414</v>
      </c>
      <c r="K351" t="s">
        <v>3415</v>
      </c>
      <c r="L351" t="s">
        <v>3415</v>
      </c>
      <c r="M351">
        <v>0</v>
      </c>
      <c r="N351">
        <v>0</v>
      </c>
      <c r="O351">
        <v>0</v>
      </c>
      <c r="P351" t="s">
        <v>2301</v>
      </c>
      <c r="Q351" t="s">
        <v>30</v>
      </c>
      <c r="R351" t="s">
        <v>30</v>
      </c>
      <c r="S351">
        <v>119</v>
      </c>
      <c r="T351" t="s">
        <v>154</v>
      </c>
      <c r="U351" t="s">
        <v>32</v>
      </c>
      <c r="V351" t="s">
        <v>32</v>
      </c>
      <c r="W351" t="s">
        <v>32</v>
      </c>
    </row>
    <row r="352" spans="1:23" x14ac:dyDescent="0.2">
      <c r="A352" t="s">
        <v>3416</v>
      </c>
      <c r="B352" t="s">
        <v>3417</v>
      </c>
      <c r="C352">
        <v>23</v>
      </c>
      <c r="D352">
        <v>23</v>
      </c>
      <c r="E352" t="s">
        <v>3418</v>
      </c>
      <c r="F352" t="s">
        <v>3419</v>
      </c>
      <c r="G352" t="s">
        <v>3418</v>
      </c>
      <c r="H352" t="s">
        <v>3419</v>
      </c>
      <c r="I352" t="s">
        <v>3420</v>
      </c>
      <c r="J352" t="s">
        <v>3421</v>
      </c>
      <c r="K352" t="s">
        <v>3422</v>
      </c>
      <c r="L352" t="s">
        <v>3422</v>
      </c>
      <c r="M352">
        <v>241</v>
      </c>
      <c r="N352">
        <v>39</v>
      </c>
      <c r="O352">
        <v>4.9800000000000004</v>
      </c>
      <c r="P352" t="s">
        <v>1144</v>
      </c>
      <c r="Q352" t="s">
        <v>3423</v>
      </c>
      <c r="R352" t="s">
        <v>154</v>
      </c>
      <c r="S352">
        <v>135</v>
      </c>
      <c r="T352" t="s">
        <v>154</v>
      </c>
      <c r="U352" t="s">
        <v>32</v>
      </c>
      <c r="V352" t="s">
        <v>32</v>
      </c>
      <c r="W352" t="s">
        <v>32</v>
      </c>
    </row>
    <row r="353" spans="1:23" x14ac:dyDescent="0.2">
      <c r="A353" t="s">
        <v>3424</v>
      </c>
      <c r="B353" t="s">
        <v>3424</v>
      </c>
      <c r="C353">
        <v>118</v>
      </c>
      <c r="D353">
        <v>29</v>
      </c>
      <c r="E353" t="s">
        <v>3425</v>
      </c>
      <c r="F353" t="s">
        <v>3426</v>
      </c>
      <c r="G353" t="s">
        <v>3427</v>
      </c>
      <c r="H353" t="s">
        <v>3428</v>
      </c>
      <c r="I353" t="s">
        <v>3429</v>
      </c>
      <c r="J353" t="s">
        <v>3430</v>
      </c>
      <c r="K353" t="s">
        <v>3431</v>
      </c>
      <c r="L353" t="s">
        <v>3432</v>
      </c>
      <c r="M353">
        <v>0</v>
      </c>
      <c r="N353">
        <v>0</v>
      </c>
      <c r="O353">
        <v>0</v>
      </c>
      <c r="P353" t="s">
        <v>3433</v>
      </c>
      <c r="Q353" t="s">
        <v>30</v>
      </c>
      <c r="R353" t="s">
        <v>30</v>
      </c>
      <c r="S353">
        <v>36</v>
      </c>
      <c r="T353" t="s">
        <v>3434</v>
      </c>
      <c r="U353" t="s">
        <v>32</v>
      </c>
      <c r="V353" t="s">
        <v>32</v>
      </c>
      <c r="W353" t="s">
        <v>32</v>
      </c>
    </row>
    <row r="354" spans="1:23" x14ac:dyDescent="0.2">
      <c r="A354" t="s">
        <v>3435</v>
      </c>
      <c r="B354" t="s">
        <v>3436</v>
      </c>
      <c r="C354">
        <v>93</v>
      </c>
      <c r="D354">
        <v>45</v>
      </c>
      <c r="E354" t="s">
        <v>3437</v>
      </c>
      <c r="F354" t="s">
        <v>3438</v>
      </c>
      <c r="G354" t="s">
        <v>3439</v>
      </c>
      <c r="H354" t="s">
        <v>3440</v>
      </c>
      <c r="I354" t="s">
        <v>639</v>
      </c>
      <c r="J354" t="s">
        <v>3441</v>
      </c>
      <c r="K354" t="s">
        <v>3442</v>
      </c>
      <c r="L354" t="s">
        <v>3443</v>
      </c>
      <c r="M354">
        <v>27</v>
      </c>
      <c r="N354">
        <v>1</v>
      </c>
      <c r="O354">
        <v>0.02</v>
      </c>
      <c r="P354" t="s">
        <v>3444</v>
      </c>
      <c r="Q354" t="s">
        <v>3445</v>
      </c>
      <c r="R354" t="s">
        <v>3446</v>
      </c>
      <c r="S354">
        <v>210</v>
      </c>
      <c r="T354" t="s">
        <v>439</v>
      </c>
      <c r="U354" t="s">
        <v>32</v>
      </c>
      <c r="V354" t="s">
        <v>32</v>
      </c>
      <c r="W354" t="s">
        <v>32</v>
      </c>
    </row>
    <row r="355" spans="1:23" x14ac:dyDescent="0.2">
      <c r="A355" t="s">
        <v>3447</v>
      </c>
      <c r="B355" t="s">
        <v>3447</v>
      </c>
      <c r="C355">
        <v>52</v>
      </c>
      <c r="D355">
        <v>52</v>
      </c>
      <c r="E355" t="s">
        <v>3448</v>
      </c>
      <c r="F355" t="s">
        <v>3449</v>
      </c>
      <c r="G355" t="s">
        <v>3448</v>
      </c>
      <c r="H355" t="s">
        <v>3449</v>
      </c>
      <c r="I355" t="s">
        <v>3450</v>
      </c>
      <c r="J355" t="s">
        <v>3451</v>
      </c>
      <c r="K355" t="s">
        <v>3452</v>
      </c>
      <c r="L355" t="s">
        <v>3452</v>
      </c>
      <c r="M355">
        <v>452</v>
      </c>
      <c r="N355">
        <v>32</v>
      </c>
      <c r="O355">
        <v>9.9</v>
      </c>
      <c r="P355" t="s">
        <v>3453</v>
      </c>
      <c r="Q355" t="s">
        <v>3454</v>
      </c>
      <c r="R355" t="s">
        <v>154</v>
      </c>
      <c r="S355">
        <v>138</v>
      </c>
      <c r="T355" t="s">
        <v>154</v>
      </c>
      <c r="U355" t="s">
        <v>32</v>
      </c>
      <c r="V355" t="s">
        <v>32</v>
      </c>
      <c r="W355" t="s">
        <v>32</v>
      </c>
    </row>
    <row r="356" spans="1:23" x14ac:dyDescent="0.2">
      <c r="A356" t="s">
        <v>3455</v>
      </c>
      <c r="B356" t="s">
        <v>3455</v>
      </c>
      <c r="C356">
        <v>1801</v>
      </c>
      <c r="D356">
        <v>64</v>
      </c>
      <c r="E356" t="s">
        <v>3456</v>
      </c>
      <c r="F356" t="s">
        <v>3457</v>
      </c>
      <c r="G356" t="s">
        <v>3458</v>
      </c>
      <c r="H356" t="s">
        <v>3459</v>
      </c>
      <c r="I356" t="s">
        <v>32</v>
      </c>
      <c r="J356" t="s">
        <v>3460</v>
      </c>
      <c r="K356" t="s">
        <v>3461</v>
      </c>
      <c r="L356" t="s">
        <v>3462</v>
      </c>
      <c r="M356">
        <v>0</v>
      </c>
      <c r="N356">
        <v>0</v>
      </c>
      <c r="O356">
        <v>0</v>
      </c>
      <c r="P356" t="s">
        <v>1468</v>
      </c>
      <c r="Q356" t="s">
        <v>30</v>
      </c>
      <c r="R356" t="s">
        <v>30</v>
      </c>
      <c r="S356">
        <v>0</v>
      </c>
      <c r="T356" t="s">
        <v>30</v>
      </c>
      <c r="U356" t="s">
        <v>1491</v>
      </c>
      <c r="V356" t="s">
        <v>32</v>
      </c>
      <c r="W356" t="s">
        <v>32</v>
      </c>
    </row>
    <row r="357" spans="1:23" x14ac:dyDescent="0.2">
      <c r="A357" t="s">
        <v>3463</v>
      </c>
      <c r="B357" t="s">
        <v>3464</v>
      </c>
      <c r="C357">
        <v>214</v>
      </c>
      <c r="D357">
        <v>44</v>
      </c>
      <c r="E357" t="s">
        <v>3465</v>
      </c>
      <c r="F357" t="s">
        <v>3466</v>
      </c>
      <c r="G357" t="s">
        <v>3467</v>
      </c>
      <c r="H357" t="s">
        <v>3468</v>
      </c>
      <c r="I357" t="s">
        <v>3469</v>
      </c>
      <c r="J357" t="s">
        <v>3470</v>
      </c>
      <c r="K357" t="s">
        <v>3471</v>
      </c>
      <c r="L357" t="s">
        <v>3472</v>
      </c>
      <c r="M357">
        <v>0</v>
      </c>
      <c r="N357">
        <v>0</v>
      </c>
      <c r="O357">
        <v>0</v>
      </c>
      <c r="P357" t="s">
        <v>2885</v>
      </c>
      <c r="Q357" t="s">
        <v>30</v>
      </c>
      <c r="R357" t="s">
        <v>30</v>
      </c>
      <c r="S357">
        <v>757</v>
      </c>
      <c r="T357" t="s">
        <v>3473</v>
      </c>
      <c r="U357" t="s">
        <v>474</v>
      </c>
      <c r="V357" t="s">
        <v>32</v>
      </c>
      <c r="W357" t="s">
        <v>32</v>
      </c>
    </row>
    <row r="358" spans="1:23" x14ac:dyDescent="0.2">
      <c r="A358" t="s">
        <v>3474</v>
      </c>
      <c r="B358" t="s">
        <v>3475</v>
      </c>
      <c r="C358">
        <v>107</v>
      </c>
      <c r="D358">
        <v>65</v>
      </c>
      <c r="E358" t="s">
        <v>3476</v>
      </c>
      <c r="F358" t="s">
        <v>3477</v>
      </c>
      <c r="G358" t="s">
        <v>3478</v>
      </c>
      <c r="H358" t="s">
        <v>3479</v>
      </c>
      <c r="I358" t="s">
        <v>256</v>
      </c>
      <c r="J358" t="s">
        <v>3480</v>
      </c>
      <c r="K358" t="s">
        <v>3481</v>
      </c>
      <c r="L358" t="s">
        <v>3482</v>
      </c>
      <c r="M358">
        <v>945</v>
      </c>
      <c r="N358">
        <v>46</v>
      </c>
      <c r="O358">
        <v>5.88</v>
      </c>
      <c r="P358" t="s">
        <v>2339</v>
      </c>
      <c r="Q358" t="s">
        <v>3483</v>
      </c>
      <c r="R358" t="s">
        <v>3484</v>
      </c>
      <c r="S358">
        <v>534</v>
      </c>
      <c r="T358" t="s">
        <v>3484</v>
      </c>
      <c r="U358" t="s">
        <v>84</v>
      </c>
      <c r="V358" t="s">
        <v>32</v>
      </c>
      <c r="W358" t="s">
        <v>32</v>
      </c>
    </row>
    <row r="359" spans="1:23" x14ac:dyDescent="0.2">
      <c r="A359" t="s">
        <v>3485</v>
      </c>
      <c r="B359" t="s">
        <v>3486</v>
      </c>
      <c r="C359">
        <v>105</v>
      </c>
      <c r="D359">
        <v>42</v>
      </c>
      <c r="E359" t="s">
        <v>3487</v>
      </c>
      <c r="F359" t="s">
        <v>3488</v>
      </c>
      <c r="G359" t="s">
        <v>3489</v>
      </c>
      <c r="H359" t="s">
        <v>3490</v>
      </c>
      <c r="I359" t="s">
        <v>468</v>
      </c>
      <c r="J359" t="s">
        <v>3491</v>
      </c>
      <c r="K359" t="s">
        <v>3492</v>
      </c>
      <c r="L359" t="s">
        <v>3493</v>
      </c>
      <c r="M359">
        <v>457</v>
      </c>
      <c r="N359">
        <v>22</v>
      </c>
      <c r="O359">
        <v>1.6</v>
      </c>
      <c r="P359" t="s">
        <v>3494</v>
      </c>
      <c r="Q359" t="s">
        <v>3495</v>
      </c>
      <c r="R359" t="s">
        <v>3496</v>
      </c>
      <c r="S359">
        <v>357</v>
      </c>
      <c r="T359" t="s">
        <v>906</v>
      </c>
      <c r="U359" t="s">
        <v>32</v>
      </c>
      <c r="V359" t="s">
        <v>32</v>
      </c>
      <c r="W359" t="s">
        <v>32</v>
      </c>
    </row>
    <row r="360" spans="1:23" x14ac:dyDescent="0.2">
      <c r="A360" t="s">
        <v>3497</v>
      </c>
      <c r="B360" t="s">
        <v>3497</v>
      </c>
      <c r="C360">
        <v>83</v>
      </c>
      <c r="D360">
        <v>43</v>
      </c>
      <c r="E360" t="s">
        <v>3498</v>
      </c>
      <c r="F360" t="s">
        <v>3499</v>
      </c>
      <c r="G360" t="s">
        <v>3500</v>
      </c>
      <c r="H360" t="s">
        <v>3501</v>
      </c>
      <c r="I360" t="s">
        <v>1730</v>
      </c>
      <c r="J360" t="s">
        <v>3502</v>
      </c>
      <c r="K360" t="s">
        <v>3503</v>
      </c>
      <c r="L360" t="s">
        <v>3504</v>
      </c>
      <c r="M360">
        <v>0</v>
      </c>
      <c r="N360">
        <v>0</v>
      </c>
      <c r="O360">
        <v>0</v>
      </c>
      <c r="P360" t="s">
        <v>2534</v>
      </c>
      <c r="Q360" t="s">
        <v>30</v>
      </c>
      <c r="R360" t="s">
        <v>30</v>
      </c>
      <c r="S360">
        <v>132</v>
      </c>
      <c r="T360" t="s">
        <v>3505</v>
      </c>
      <c r="U360" t="s">
        <v>84</v>
      </c>
      <c r="V360" t="s">
        <v>32</v>
      </c>
      <c r="W360" t="s">
        <v>32</v>
      </c>
    </row>
    <row r="361" spans="1:23" x14ac:dyDescent="0.2">
      <c r="A361" t="s">
        <v>3506</v>
      </c>
      <c r="B361" t="s">
        <v>3506</v>
      </c>
      <c r="C361">
        <v>62</v>
      </c>
      <c r="D361">
        <v>31</v>
      </c>
      <c r="E361" t="s">
        <v>3507</v>
      </c>
      <c r="F361" t="s">
        <v>3508</v>
      </c>
      <c r="G361" t="s">
        <v>3509</v>
      </c>
      <c r="H361" t="s">
        <v>3510</v>
      </c>
      <c r="I361" t="s">
        <v>2747</v>
      </c>
      <c r="J361" t="s">
        <v>3511</v>
      </c>
      <c r="K361" t="s">
        <v>504</v>
      </c>
      <c r="L361" t="s">
        <v>3512</v>
      </c>
      <c r="M361">
        <v>0</v>
      </c>
      <c r="N361">
        <v>0</v>
      </c>
      <c r="O361">
        <v>0</v>
      </c>
      <c r="P361" t="s">
        <v>2944</v>
      </c>
      <c r="Q361" t="s">
        <v>30</v>
      </c>
      <c r="R361" t="s">
        <v>30</v>
      </c>
      <c r="S361">
        <v>24</v>
      </c>
      <c r="T361" t="s">
        <v>3513</v>
      </c>
      <c r="U361" t="s">
        <v>32</v>
      </c>
      <c r="V361" t="s">
        <v>32</v>
      </c>
      <c r="W361" t="s">
        <v>32</v>
      </c>
    </row>
    <row r="362" spans="1:23" x14ac:dyDescent="0.2">
      <c r="A362" t="s">
        <v>3514</v>
      </c>
      <c r="B362" t="s">
        <v>3514</v>
      </c>
      <c r="C362">
        <v>40</v>
      </c>
      <c r="D362">
        <v>40</v>
      </c>
      <c r="E362" t="s">
        <v>3515</v>
      </c>
      <c r="F362" t="s">
        <v>3516</v>
      </c>
      <c r="G362" t="s">
        <v>3515</v>
      </c>
      <c r="H362" t="s">
        <v>3516</v>
      </c>
      <c r="I362" t="s">
        <v>3517</v>
      </c>
      <c r="J362" t="s">
        <v>3518</v>
      </c>
      <c r="K362" t="s">
        <v>1692</v>
      </c>
      <c r="L362" t="s">
        <v>1692</v>
      </c>
      <c r="M362">
        <v>0</v>
      </c>
      <c r="N362">
        <v>0</v>
      </c>
      <c r="O362">
        <v>0</v>
      </c>
      <c r="P362" t="s">
        <v>3519</v>
      </c>
      <c r="Q362" t="s">
        <v>30</v>
      </c>
      <c r="R362" t="s">
        <v>30</v>
      </c>
      <c r="S362">
        <v>75</v>
      </c>
      <c r="T362" t="s">
        <v>3520</v>
      </c>
      <c r="U362" t="s">
        <v>84</v>
      </c>
      <c r="V362" t="s">
        <v>32</v>
      </c>
      <c r="W362" t="s">
        <v>32</v>
      </c>
    </row>
    <row r="363" spans="1:23" x14ac:dyDescent="0.2">
      <c r="A363" t="s">
        <v>3521</v>
      </c>
      <c r="B363" t="s">
        <v>3521</v>
      </c>
      <c r="C363">
        <v>133</v>
      </c>
      <c r="D363">
        <v>21</v>
      </c>
      <c r="E363" t="s">
        <v>3522</v>
      </c>
      <c r="F363" t="s">
        <v>3523</v>
      </c>
      <c r="G363" t="s">
        <v>3524</v>
      </c>
      <c r="H363" t="s">
        <v>3525</v>
      </c>
      <c r="I363" t="s">
        <v>480</v>
      </c>
      <c r="J363" t="s">
        <v>3526</v>
      </c>
      <c r="K363" t="s">
        <v>538</v>
      </c>
      <c r="L363" t="s">
        <v>3527</v>
      </c>
      <c r="M363">
        <v>0</v>
      </c>
      <c r="N363">
        <v>0</v>
      </c>
      <c r="O363">
        <v>0</v>
      </c>
      <c r="P363" t="s">
        <v>3528</v>
      </c>
      <c r="Q363" t="s">
        <v>30</v>
      </c>
      <c r="R363" t="s">
        <v>30</v>
      </c>
      <c r="S363">
        <v>155</v>
      </c>
      <c r="T363" t="s">
        <v>3529</v>
      </c>
      <c r="U363" t="s">
        <v>32</v>
      </c>
      <c r="V363" t="s">
        <v>32</v>
      </c>
      <c r="W363" t="s">
        <v>32</v>
      </c>
    </row>
    <row r="364" spans="1:23" x14ac:dyDescent="0.2">
      <c r="A364" t="s">
        <v>3530</v>
      </c>
      <c r="B364" t="s">
        <v>3531</v>
      </c>
      <c r="C364">
        <v>106</v>
      </c>
      <c r="D364">
        <v>40</v>
      </c>
      <c r="E364" t="s">
        <v>3532</v>
      </c>
      <c r="F364" t="s">
        <v>3533</v>
      </c>
      <c r="G364" t="s">
        <v>3534</v>
      </c>
      <c r="H364" t="s">
        <v>847</v>
      </c>
      <c r="I364" t="s">
        <v>3535</v>
      </c>
      <c r="J364" t="s">
        <v>3536</v>
      </c>
      <c r="K364" t="s">
        <v>3537</v>
      </c>
      <c r="L364" t="s">
        <v>3538</v>
      </c>
      <c r="M364">
        <v>471</v>
      </c>
      <c r="N364">
        <v>10</v>
      </c>
      <c r="O364">
        <v>0.33</v>
      </c>
      <c r="P364" t="s">
        <v>3395</v>
      </c>
      <c r="Q364" t="s">
        <v>3539</v>
      </c>
      <c r="R364" t="s">
        <v>3540</v>
      </c>
      <c r="S364">
        <v>251</v>
      </c>
      <c r="T364" t="s">
        <v>3541</v>
      </c>
      <c r="U364" t="s">
        <v>32</v>
      </c>
      <c r="V364" t="s">
        <v>32</v>
      </c>
      <c r="W364" t="s">
        <v>32</v>
      </c>
    </row>
    <row r="365" spans="1:23" x14ac:dyDescent="0.2">
      <c r="A365" t="s">
        <v>3542</v>
      </c>
      <c r="B365" t="s">
        <v>3542</v>
      </c>
      <c r="C365">
        <v>125</v>
      </c>
      <c r="D365">
        <v>80</v>
      </c>
      <c r="E365" t="s">
        <v>3543</v>
      </c>
      <c r="F365" t="s">
        <v>3544</v>
      </c>
      <c r="G365" t="s">
        <v>3545</v>
      </c>
      <c r="H365" t="s">
        <v>3546</v>
      </c>
      <c r="I365" t="s">
        <v>3547</v>
      </c>
      <c r="J365" t="s">
        <v>3548</v>
      </c>
      <c r="K365" t="s">
        <v>3549</v>
      </c>
      <c r="L365" t="s">
        <v>3550</v>
      </c>
      <c r="M365">
        <v>0</v>
      </c>
      <c r="N365">
        <v>0</v>
      </c>
      <c r="O365">
        <v>0</v>
      </c>
      <c r="P365" t="s">
        <v>3551</v>
      </c>
      <c r="Q365" t="s">
        <v>30</v>
      </c>
      <c r="R365" t="s">
        <v>30</v>
      </c>
      <c r="S365">
        <v>319</v>
      </c>
      <c r="T365" t="s">
        <v>3552</v>
      </c>
      <c r="U365" t="s">
        <v>32</v>
      </c>
      <c r="V365" t="s">
        <v>32</v>
      </c>
      <c r="W365" t="s">
        <v>32</v>
      </c>
    </row>
    <row r="366" spans="1:23" x14ac:dyDescent="0.2">
      <c r="A366" t="s">
        <v>3553</v>
      </c>
      <c r="B366" t="s">
        <v>3553</v>
      </c>
      <c r="C366">
        <v>75</v>
      </c>
      <c r="D366">
        <v>39</v>
      </c>
      <c r="E366" t="s">
        <v>3554</v>
      </c>
      <c r="F366" t="s">
        <v>3555</v>
      </c>
      <c r="G366" t="s">
        <v>3556</v>
      </c>
      <c r="H366" t="s">
        <v>3557</v>
      </c>
      <c r="I366" t="s">
        <v>3558</v>
      </c>
      <c r="J366" t="s">
        <v>3559</v>
      </c>
      <c r="K366" t="s">
        <v>3560</v>
      </c>
      <c r="L366" t="s">
        <v>3561</v>
      </c>
      <c r="M366">
        <v>0</v>
      </c>
      <c r="N366">
        <v>0</v>
      </c>
      <c r="O366">
        <v>0</v>
      </c>
      <c r="P366" t="s">
        <v>3562</v>
      </c>
      <c r="Q366" t="s">
        <v>30</v>
      </c>
      <c r="R366" t="s">
        <v>30</v>
      </c>
      <c r="S366">
        <v>158</v>
      </c>
      <c r="T366" t="s">
        <v>3563</v>
      </c>
      <c r="U366" t="s">
        <v>32</v>
      </c>
      <c r="V366" t="s">
        <v>32</v>
      </c>
      <c r="W366" t="s">
        <v>32</v>
      </c>
    </row>
    <row r="367" spans="1:23" x14ac:dyDescent="0.2">
      <c r="A367" t="s">
        <v>3564</v>
      </c>
      <c r="B367" t="s">
        <v>3564</v>
      </c>
      <c r="C367">
        <v>18</v>
      </c>
      <c r="D367">
        <v>18</v>
      </c>
      <c r="E367" t="s">
        <v>3565</v>
      </c>
      <c r="F367" t="s">
        <v>3566</v>
      </c>
      <c r="G367" t="s">
        <v>3565</v>
      </c>
      <c r="H367" t="s">
        <v>3566</v>
      </c>
      <c r="I367" t="s">
        <v>48</v>
      </c>
      <c r="J367" t="s">
        <v>3567</v>
      </c>
      <c r="K367" t="s">
        <v>3568</v>
      </c>
      <c r="L367" t="s">
        <v>3568</v>
      </c>
      <c r="M367">
        <v>259</v>
      </c>
      <c r="N367">
        <v>0</v>
      </c>
      <c r="O367">
        <v>0</v>
      </c>
      <c r="P367" t="s">
        <v>3569</v>
      </c>
      <c r="Q367" t="s">
        <v>30</v>
      </c>
      <c r="R367" t="s">
        <v>3570</v>
      </c>
      <c r="S367">
        <v>45</v>
      </c>
      <c r="T367" t="s">
        <v>3570</v>
      </c>
      <c r="U367" t="s">
        <v>32</v>
      </c>
      <c r="V367" t="s">
        <v>32</v>
      </c>
      <c r="W367" t="s">
        <v>32</v>
      </c>
    </row>
    <row r="368" spans="1:23" x14ac:dyDescent="0.2">
      <c r="A368" t="s">
        <v>3571</v>
      </c>
      <c r="B368" t="s">
        <v>3572</v>
      </c>
      <c r="C368">
        <v>2239</v>
      </c>
      <c r="D368">
        <v>63</v>
      </c>
      <c r="E368" t="s">
        <v>3573</v>
      </c>
      <c r="F368" t="s">
        <v>3574</v>
      </c>
      <c r="G368" t="s">
        <v>3575</v>
      </c>
      <c r="H368" t="s">
        <v>3576</v>
      </c>
      <c r="I368" t="s">
        <v>32</v>
      </c>
      <c r="J368" t="s">
        <v>32</v>
      </c>
      <c r="K368" t="s">
        <v>30</v>
      </c>
      <c r="L368" t="s">
        <v>30</v>
      </c>
      <c r="M368">
        <v>0</v>
      </c>
      <c r="N368">
        <v>0</v>
      </c>
      <c r="O368">
        <v>0</v>
      </c>
      <c r="P368" t="s">
        <v>3577</v>
      </c>
      <c r="Q368" t="s">
        <v>30</v>
      </c>
      <c r="R368" t="s">
        <v>30</v>
      </c>
      <c r="S368">
        <v>0</v>
      </c>
      <c r="T368" t="s">
        <v>30</v>
      </c>
      <c r="U368" t="s">
        <v>32</v>
      </c>
      <c r="V368" t="s">
        <v>32</v>
      </c>
      <c r="W368" t="s">
        <v>32</v>
      </c>
    </row>
    <row r="369" spans="1:23" x14ac:dyDescent="0.2">
      <c r="A369" t="s">
        <v>3578</v>
      </c>
      <c r="B369" t="s">
        <v>3578</v>
      </c>
      <c r="C369">
        <v>17</v>
      </c>
      <c r="D369">
        <v>17</v>
      </c>
      <c r="E369" t="s">
        <v>3579</v>
      </c>
      <c r="F369" t="s">
        <v>3580</v>
      </c>
      <c r="G369" t="s">
        <v>3579</v>
      </c>
      <c r="H369" t="s">
        <v>3580</v>
      </c>
      <c r="I369" t="s">
        <v>3420</v>
      </c>
      <c r="J369" t="s">
        <v>3581</v>
      </c>
      <c r="K369" t="s">
        <v>3582</v>
      </c>
      <c r="L369" t="s">
        <v>3582</v>
      </c>
      <c r="M369">
        <v>0</v>
      </c>
      <c r="N369">
        <v>0</v>
      </c>
      <c r="O369">
        <v>0</v>
      </c>
      <c r="P369" t="s">
        <v>3583</v>
      </c>
      <c r="Q369" t="s">
        <v>30</v>
      </c>
      <c r="R369" t="s">
        <v>30</v>
      </c>
      <c r="S369">
        <v>60</v>
      </c>
      <c r="T369" t="s">
        <v>31</v>
      </c>
      <c r="U369" t="s">
        <v>32</v>
      </c>
      <c r="V369" t="s">
        <v>32</v>
      </c>
      <c r="W369" t="s">
        <v>32</v>
      </c>
    </row>
    <row r="370" spans="1:23" x14ac:dyDescent="0.2">
      <c r="A370" t="s">
        <v>3584</v>
      </c>
      <c r="B370" t="s">
        <v>3584</v>
      </c>
      <c r="C370">
        <v>62</v>
      </c>
      <c r="D370">
        <v>62</v>
      </c>
      <c r="E370" t="s">
        <v>3585</v>
      </c>
      <c r="F370" t="s">
        <v>3586</v>
      </c>
      <c r="G370" t="s">
        <v>3585</v>
      </c>
      <c r="H370" t="s">
        <v>3586</v>
      </c>
      <c r="I370" t="s">
        <v>3587</v>
      </c>
      <c r="J370" t="s">
        <v>3588</v>
      </c>
      <c r="K370" t="s">
        <v>767</v>
      </c>
      <c r="L370" t="s">
        <v>767</v>
      </c>
      <c r="M370">
        <v>0</v>
      </c>
      <c r="N370">
        <v>0</v>
      </c>
      <c r="O370">
        <v>0</v>
      </c>
      <c r="P370" t="s">
        <v>3589</v>
      </c>
      <c r="Q370" t="s">
        <v>30</v>
      </c>
      <c r="R370" t="s">
        <v>30</v>
      </c>
      <c r="S370">
        <v>170</v>
      </c>
      <c r="T370" t="s">
        <v>3590</v>
      </c>
      <c r="U370" t="s">
        <v>84</v>
      </c>
      <c r="V370" t="s">
        <v>32</v>
      </c>
      <c r="W370" t="s">
        <v>32</v>
      </c>
    </row>
    <row r="371" spans="1:23" x14ac:dyDescent="0.2">
      <c r="A371" t="s">
        <v>3591</v>
      </c>
      <c r="B371" t="s">
        <v>3591</v>
      </c>
      <c r="C371">
        <v>118</v>
      </c>
      <c r="D371">
        <v>66</v>
      </c>
      <c r="E371" t="s">
        <v>3592</v>
      </c>
      <c r="F371" t="s">
        <v>3593</v>
      </c>
      <c r="G371" t="s">
        <v>3594</v>
      </c>
      <c r="H371" t="s">
        <v>3595</v>
      </c>
      <c r="I371" t="s">
        <v>2910</v>
      </c>
      <c r="J371" t="s">
        <v>3596</v>
      </c>
      <c r="K371" t="s">
        <v>3597</v>
      </c>
      <c r="L371" t="s">
        <v>3598</v>
      </c>
      <c r="M371">
        <v>0</v>
      </c>
      <c r="N371">
        <v>0</v>
      </c>
      <c r="O371">
        <v>0</v>
      </c>
      <c r="P371" t="s">
        <v>212</v>
      </c>
      <c r="Q371" t="s">
        <v>30</v>
      </c>
      <c r="R371" t="s">
        <v>30</v>
      </c>
      <c r="S371">
        <v>110</v>
      </c>
      <c r="T371" t="s">
        <v>3599</v>
      </c>
      <c r="U371" t="s">
        <v>32</v>
      </c>
      <c r="V371" t="s">
        <v>32</v>
      </c>
      <c r="W371" t="s">
        <v>32</v>
      </c>
    </row>
    <row r="372" spans="1:23" x14ac:dyDescent="0.2">
      <c r="A372" t="s">
        <v>3600</v>
      </c>
      <c r="B372" t="s">
        <v>3600</v>
      </c>
      <c r="C372">
        <v>210</v>
      </c>
      <c r="D372">
        <v>25</v>
      </c>
      <c r="E372" t="s">
        <v>3601</v>
      </c>
      <c r="F372" t="s">
        <v>3602</v>
      </c>
      <c r="G372" t="s">
        <v>3603</v>
      </c>
      <c r="H372" t="s">
        <v>3604</v>
      </c>
      <c r="I372" t="s">
        <v>720</v>
      </c>
      <c r="J372" t="s">
        <v>3605</v>
      </c>
      <c r="K372" t="s">
        <v>2099</v>
      </c>
      <c r="L372" t="s">
        <v>3606</v>
      </c>
      <c r="M372">
        <v>350</v>
      </c>
      <c r="N372">
        <v>5</v>
      </c>
      <c r="O372">
        <v>0.32</v>
      </c>
      <c r="P372" t="s">
        <v>2153</v>
      </c>
      <c r="Q372" t="s">
        <v>827</v>
      </c>
      <c r="R372" t="s">
        <v>3607</v>
      </c>
      <c r="S372">
        <v>340</v>
      </c>
      <c r="T372" t="s">
        <v>3608</v>
      </c>
      <c r="U372" t="s">
        <v>32</v>
      </c>
      <c r="V372" t="s">
        <v>32</v>
      </c>
      <c r="W372" t="s">
        <v>32</v>
      </c>
    </row>
    <row r="373" spans="1:23" x14ac:dyDescent="0.2">
      <c r="A373" t="s">
        <v>3609</v>
      </c>
      <c r="B373" t="s">
        <v>3609</v>
      </c>
      <c r="C373">
        <v>1370</v>
      </c>
      <c r="D373">
        <v>63</v>
      </c>
      <c r="E373" t="s">
        <v>3610</v>
      </c>
      <c r="F373" t="s">
        <v>3611</v>
      </c>
      <c r="G373" t="s">
        <v>3612</v>
      </c>
      <c r="H373" t="s">
        <v>3613</v>
      </c>
      <c r="I373" t="s">
        <v>2813</v>
      </c>
      <c r="J373" t="s">
        <v>3614</v>
      </c>
      <c r="K373" t="s">
        <v>2606</v>
      </c>
      <c r="L373" t="s">
        <v>3615</v>
      </c>
      <c r="M373">
        <v>0</v>
      </c>
      <c r="N373">
        <v>0</v>
      </c>
      <c r="O373">
        <v>0</v>
      </c>
      <c r="P373" t="s">
        <v>3616</v>
      </c>
      <c r="Q373" t="s">
        <v>30</v>
      </c>
      <c r="R373" t="s">
        <v>30</v>
      </c>
      <c r="S373">
        <v>0</v>
      </c>
      <c r="T373" t="s">
        <v>30</v>
      </c>
      <c r="U373" t="s">
        <v>84</v>
      </c>
      <c r="V373" t="s">
        <v>32</v>
      </c>
      <c r="W373" t="s">
        <v>32</v>
      </c>
    </row>
    <row r="374" spans="1:23" x14ac:dyDescent="0.2">
      <c r="A374" t="s">
        <v>3617</v>
      </c>
      <c r="B374" t="s">
        <v>3617</v>
      </c>
      <c r="C374">
        <v>126</v>
      </c>
      <c r="D374">
        <v>74</v>
      </c>
      <c r="E374" t="s">
        <v>3618</v>
      </c>
      <c r="F374" t="s">
        <v>3619</v>
      </c>
      <c r="G374" t="s">
        <v>3620</v>
      </c>
      <c r="H374" t="s">
        <v>3621</v>
      </c>
      <c r="I374" t="s">
        <v>3622</v>
      </c>
      <c r="J374" t="s">
        <v>3623</v>
      </c>
      <c r="K374" t="s">
        <v>3624</v>
      </c>
      <c r="L374" t="s">
        <v>3625</v>
      </c>
      <c r="M374">
        <v>1112</v>
      </c>
      <c r="N374">
        <v>15</v>
      </c>
      <c r="O374">
        <v>5.65</v>
      </c>
      <c r="P374" t="s">
        <v>561</v>
      </c>
      <c r="Q374" t="s">
        <v>3626</v>
      </c>
      <c r="R374" t="s">
        <v>3627</v>
      </c>
      <c r="S374">
        <v>418</v>
      </c>
      <c r="T374" t="s">
        <v>3628</v>
      </c>
      <c r="U374" t="s">
        <v>32</v>
      </c>
      <c r="V374" t="s">
        <v>32</v>
      </c>
      <c r="W374" t="s">
        <v>32</v>
      </c>
    </row>
    <row r="375" spans="1:23" x14ac:dyDescent="0.2">
      <c r="A375" t="s">
        <v>3629</v>
      </c>
      <c r="B375" t="s">
        <v>3630</v>
      </c>
      <c r="C375">
        <v>22</v>
      </c>
      <c r="D375">
        <v>22</v>
      </c>
      <c r="E375" t="s">
        <v>3631</v>
      </c>
      <c r="F375" t="s">
        <v>3632</v>
      </c>
      <c r="G375" t="s">
        <v>3631</v>
      </c>
      <c r="H375" t="s">
        <v>3632</v>
      </c>
      <c r="I375" t="s">
        <v>673</v>
      </c>
      <c r="J375" t="s">
        <v>3633</v>
      </c>
      <c r="K375" t="s">
        <v>3634</v>
      </c>
      <c r="L375" t="s">
        <v>3634</v>
      </c>
      <c r="M375">
        <v>228</v>
      </c>
      <c r="N375">
        <v>8</v>
      </c>
      <c r="O375">
        <v>0.32</v>
      </c>
      <c r="P375" t="s">
        <v>472</v>
      </c>
      <c r="Q375" t="s">
        <v>213</v>
      </c>
      <c r="R375" t="s">
        <v>154</v>
      </c>
      <c r="S375">
        <v>77</v>
      </c>
      <c r="T375" t="s">
        <v>154</v>
      </c>
      <c r="U375" t="s">
        <v>32</v>
      </c>
      <c r="V375" t="s">
        <v>32</v>
      </c>
      <c r="W375" t="s">
        <v>32</v>
      </c>
    </row>
    <row r="376" spans="1:23" x14ac:dyDescent="0.2">
      <c r="A376" t="s">
        <v>3635</v>
      </c>
      <c r="B376" t="s">
        <v>3635</v>
      </c>
      <c r="C376">
        <v>33</v>
      </c>
      <c r="D376">
        <v>33</v>
      </c>
      <c r="E376" t="s">
        <v>3636</v>
      </c>
      <c r="F376" t="s">
        <v>3637</v>
      </c>
      <c r="G376" t="s">
        <v>3636</v>
      </c>
      <c r="H376" t="s">
        <v>3637</v>
      </c>
      <c r="I376" t="s">
        <v>3638</v>
      </c>
      <c r="J376" t="s">
        <v>3639</v>
      </c>
      <c r="K376" t="s">
        <v>3640</v>
      </c>
      <c r="L376" t="s">
        <v>3640</v>
      </c>
      <c r="M376">
        <v>454</v>
      </c>
      <c r="N376">
        <v>5</v>
      </c>
      <c r="O376">
        <v>0.35</v>
      </c>
      <c r="P376" t="s">
        <v>2339</v>
      </c>
      <c r="Q376" t="s">
        <v>2664</v>
      </c>
      <c r="R376" t="s">
        <v>3641</v>
      </c>
      <c r="S376">
        <v>77</v>
      </c>
      <c r="T376" t="s">
        <v>2295</v>
      </c>
      <c r="U376" t="s">
        <v>32</v>
      </c>
      <c r="V376" t="s">
        <v>32</v>
      </c>
      <c r="W376" t="s">
        <v>32</v>
      </c>
    </row>
    <row r="377" spans="1:23" x14ac:dyDescent="0.2">
      <c r="A377" t="s">
        <v>3642</v>
      </c>
      <c r="B377" t="s">
        <v>3643</v>
      </c>
      <c r="C377">
        <v>1370</v>
      </c>
      <c r="D377">
        <v>63</v>
      </c>
      <c r="E377" t="s">
        <v>3644</v>
      </c>
      <c r="F377" t="s">
        <v>3645</v>
      </c>
      <c r="G377" t="s">
        <v>3646</v>
      </c>
      <c r="H377" t="s">
        <v>3647</v>
      </c>
      <c r="I377" t="s">
        <v>720</v>
      </c>
      <c r="J377" t="s">
        <v>3648</v>
      </c>
      <c r="K377" t="s">
        <v>3649</v>
      </c>
      <c r="L377" t="s">
        <v>3650</v>
      </c>
      <c r="M377">
        <v>0</v>
      </c>
      <c r="N377">
        <v>0</v>
      </c>
      <c r="O377">
        <v>0</v>
      </c>
      <c r="P377" t="s">
        <v>3651</v>
      </c>
      <c r="Q377" t="s">
        <v>30</v>
      </c>
      <c r="R377" t="s">
        <v>30</v>
      </c>
      <c r="S377">
        <v>0</v>
      </c>
      <c r="T377" t="s">
        <v>30</v>
      </c>
      <c r="U377" t="s">
        <v>32</v>
      </c>
      <c r="V377" t="s">
        <v>32</v>
      </c>
      <c r="W377" t="s">
        <v>32</v>
      </c>
    </row>
    <row r="378" spans="1:23" x14ac:dyDescent="0.2">
      <c r="A378" t="s">
        <v>3652</v>
      </c>
      <c r="B378" t="s">
        <v>3653</v>
      </c>
      <c r="C378">
        <v>1389</v>
      </c>
      <c r="D378">
        <v>63</v>
      </c>
      <c r="E378" t="s">
        <v>3654</v>
      </c>
      <c r="F378" t="s">
        <v>3655</v>
      </c>
      <c r="G378" t="s">
        <v>3656</v>
      </c>
      <c r="H378" t="s">
        <v>3657</v>
      </c>
      <c r="I378" t="s">
        <v>787</v>
      </c>
      <c r="J378" t="s">
        <v>3658</v>
      </c>
      <c r="K378" t="s">
        <v>2063</v>
      </c>
      <c r="L378" t="s">
        <v>1037</v>
      </c>
      <c r="M378">
        <v>0</v>
      </c>
      <c r="N378">
        <v>0</v>
      </c>
      <c r="O378">
        <v>0</v>
      </c>
      <c r="P378" t="s">
        <v>3659</v>
      </c>
      <c r="Q378" t="s">
        <v>30</v>
      </c>
      <c r="R378" t="s">
        <v>30</v>
      </c>
      <c r="S378">
        <v>0</v>
      </c>
      <c r="T378" t="s">
        <v>30</v>
      </c>
      <c r="U378" t="s">
        <v>32</v>
      </c>
      <c r="V378" t="s">
        <v>32</v>
      </c>
      <c r="W378" t="s">
        <v>32</v>
      </c>
    </row>
    <row r="379" spans="1:23" x14ac:dyDescent="0.2">
      <c r="A379" t="s">
        <v>3660</v>
      </c>
      <c r="B379" t="s">
        <v>3661</v>
      </c>
      <c r="C379">
        <v>231</v>
      </c>
      <c r="D379">
        <v>45</v>
      </c>
      <c r="E379" t="s">
        <v>3662</v>
      </c>
      <c r="F379" t="s">
        <v>3663</v>
      </c>
      <c r="G379" t="s">
        <v>3664</v>
      </c>
      <c r="H379" t="s">
        <v>3428</v>
      </c>
      <c r="I379" t="s">
        <v>742</v>
      </c>
      <c r="J379" t="s">
        <v>3665</v>
      </c>
      <c r="K379" t="s">
        <v>231</v>
      </c>
      <c r="L379" t="s">
        <v>3666</v>
      </c>
      <c r="M379">
        <v>0</v>
      </c>
      <c r="N379">
        <v>0</v>
      </c>
      <c r="O379">
        <v>0</v>
      </c>
      <c r="P379" t="s">
        <v>2275</v>
      </c>
      <c r="Q379" t="s">
        <v>30</v>
      </c>
      <c r="R379" t="s">
        <v>30</v>
      </c>
      <c r="S379">
        <v>484</v>
      </c>
      <c r="T379" t="s">
        <v>3667</v>
      </c>
      <c r="U379" t="s">
        <v>32</v>
      </c>
      <c r="V379" t="s">
        <v>32</v>
      </c>
      <c r="W379" t="s">
        <v>32</v>
      </c>
    </row>
    <row r="380" spans="1:23" x14ac:dyDescent="0.2">
      <c r="A380" t="s">
        <v>3668</v>
      </c>
      <c r="B380" t="s">
        <v>3668</v>
      </c>
      <c r="C380">
        <v>34</v>
      </c>
      <c r="D380">
        <v>34</v>
      </c>
      <c r="E380" t="s">
        <v>3669</v>
      </c>
      <c r="F380" t="s">
        <v>3670</v>
      </c>
      <c r="G380" t="s">
        <v>3669</v>
      </c>
      <c r="H380" t="s">
        <v>3670</v>
      </c>
      <c r="I380" t="s">
        <v>3671</v>
      </c>
      <c r="J380" t="s">
        <v>3672</v>
      </c>
      <c r="K380" t="s">
        <v>3673</v>
      </c>
      <c r="L380" t="s">
        <v>3673</v>
      </c>
      <c r="M380">
        <v>0</v>
      </c>
      <c r="N380">
        <v>0</v>
      </c>
      <c r="O380">
        <v>0</v>
      </c>
      <c r="P380" t="s">
        <v>3674</v>
      </c>
      <c r="Q380" t="s">
        <v>30</v>
      </c>
      <c r="R380" t="s">
        <v>30</v>
      </c>
      <c r="S380">
        <v>90</v>
      </c>
      <c r="T380" t="s">
        <v>3675</v>
      </c>
      <c r="U380" t="s">
        <v>32</v>
      </c>
      <c r="V380" t="s">
        <v>32</v>
      </c>
      <c r="W380" t="s">
        <v>32</v>
      </c>
    </row>
    <row r="381" spans="1:23" x14ac:dyDescent="0.2">
      <c r="A381" t="s">
        <v>3676</v>
      </c>
      <c r="B381" t="s">
        <v>3676</v>
      </c>
      <c r="C381">
        <v>50</v>
      </c>
      <c r="D381">
        <v>50</v>
      </c>
      <c r="E381" t="s">
        <v>3677</v>
      </c>
      <c r="F381" t="s">
        <v>3678</v>
      </c>
      <c r="G381" t="s">
        <v>3677</v>
      </c>
      <c r="H381" t="s">
        <v>3678</v>
      </c>
      <c r="I381" t="s">
        <v>3679</v>
      </c>
      <c r="J381" t="s">
        <v>3680</v>
      </c>
      <c r="K381" t="s">
        <v>3681</v>
      </c>
      <c r="L381" t="s">
        <v>3681</v>
      </c>
      <c r="M381">
        <v>0</v>
      </c>
      <c r="N381">
        <v>0</v>
      </c>
      <c r="O381">
        <v>0</v>
      </c>
      <c r="P381" t="s">
        <v>3682</v>
      </c>
      <c r="Q381" t="s">
        <v>30</v>
      </c>
      <c r="R381" t="s">
        <v>30</v>
      </c>
      <c r="S381">
        <v>222</v>
      </c>
      <c r="T381" t="s">
        <v>154</v>
      </c>
      <c r="U381" t="s">
        <v>32</v>
      </c>
      <c r="V381" t="s">
        <v>32</v>
      </c>
      <c r="W381" t="s">
        <v>32</v>
      </c>
    </row>
    <row r="382" spans="1:23" x14ac:dyDescent="0.2">
      <c r="A382" t="s">
        <v>3683</v>
      </c>
      <c r="B382" t="s">
        <v>3683</v>
      </c>
      <c r="C382">
        <v>55</v>
      </c>
      <c r="D382">
        <v>31</v>
      </c>
      <c r="E382" t="s">
        <v>3684</v>
      </c>
      <c r="F382" t="s">
        <v>3685</v>
      </c>
      <c r="G382" t="s">
        <v>3686</v>
      </c>
      <c r="H382" t="s">
        <v>3687</v>
      </c>
      <c r="I382" t="s">
        <v>1369</v>
      </c>
      <c r="J382" t="s">
        <v>3688</v>
      </c>
      <c r="K382" t="s">
        <v>3689</v>
      </c>
      <c r="L382" t="s">
        <v>3690</v>
      </c>
      <c r="M382">
        <v>0</v>
      </c>
      <c r="N382">
        <v>0</v>
      </c>
      <c r="O382">
        <v>0</v>
      </c>
      <c r="P382" t="s">
        <v>1822</v>
      </c>
      <c r="Q382" t="s">
        <v>30</v>
      </c>
      <c r="R382" t="s">
        <v>30</v>
      </c>
      <c r="S382">
        <v>162</v>
      </c>
      <c r="T382" t="s">
        <v>3691</v>
      </c>
      <c r="U382" t="s">
        <v>32</v>
      </c>
      <c r="V382" t="s">
        <v>32</v>
      </c>
      <c r="W382" t="s">
        <v>32</v>
      </c>
    </row>
    <row r="383" spans="1:23" x14ac:dyDescent="0.2">
      <c r="A383" t="s">
        <v>3692</v>
      </c>
      <c r="B383" t="s">
        <v>3693</v>
      </c>
      <c r="C383">
        <v>37</v>
      </c>
      <c r="D383">
        <v>37</v>
      </c>
      <c r="E383" t="s">
        <v>3694</v>
      </c>
      <c r="F383" t="s">
        <v>3695</v>
      </c>
      <c r="G383" t="s">
        <v>3694</v>
      </c>
      <c r="H383" t="s">
        <v>3695</v>
      </c>
      <c r="I383" t="s">
        <v>2077</v>
      </c>
      <c r="J383" t="s">
        <v>3696</v>
      </c>
      <c r="K383" t="s">
        <v>3697</v>
      </c>
      <c r="L383" t="s">
        <v>3697</v>
      </c>
      <c r="M383">
        <v>700</v>
      </c>
      <c r="N383">
        <v>33</v>
      </c>
      <c r="O383">
        <v>5.8</v>
      </c>
      <c r="P383" t="s">
        <v>3698</v>
      </c>
      <c r="Q383" t="s">
        <v>2542</v>
      </c>
      <c r="R383" t="s">
        <v>3699</v>
      </c>
      <c r="S383">
        <v>109</v>
      </c>
      <c r="T383" t="s">
        <v>245</v>
      </c>
      <c r="U383" t="s">
        <v>32</v>
      </c>
      <c r="V383" t="s">
        <v>32</v>
      </c>
      <c r="W383" t="s">
        <v>32</v>
      </c>
    </row>
    <row r="384" spans="1:23" x14ac:dyDescent="0.2">
      <c r="A384" t="s">
        <v>3700</v>
      </c>
      <c r="B384" t="s">
        <v>3700</v>
      </c>
      <c r="C384">
        <v>116</v>
      </c>
      <c r="D384">
        <v>68</v>
      </c>
      <c r="E384" t="s">
        <v>3701</v>
      </c>
      <c r="F384" t="s">
        <v>3702</v>
      </c>
      <c r="G384" t="s">
        <v>3703</v>
      </c>
      <c r="H384" t="s">
        <v>3704</v>
      </c>
      <c r="I384" t="s">
        <v>3705</v>
      </c>
      <c r="J384" t="s">
        <v>3706</v>
      </c>
      <c r="K384" t="s">
        <v>3707</v>
      </c>
      <c r="L384" t="s">
        <v>3708</v>
      </c>
      <c r="M384">
        <v>0</v>
      </c>
      <c r="N384">
        <v>0</v>
      </c>
      <c r="O384">
        <v>0</v>
      </c>
      <c r="P384" t="s">
        <v>3709</v>
      </c>
      <c r="Q384" t="s">
        <v>30</v>
      </c>
      <c r="R384" t="s">
        <v>30</v>
      </c>
      <c r="S384">
        <v>243</v>
      </c>
      <c r="T384" t="s">
        <v>3710</v>
      </c>
      <c r="U384" t="s">
        <v>32</v>
      </c>
      <c r="V384" t="s">
        <v>32</v>
      </c>
      <c r="W384" t="s">
        <v>32</v>
      </c>
    </row>
    <row r="385" spans="1:23" x14ac:dyDescent="0.2">
      <c r="A385" t="s">
        <v>3711</v>
      </c>
      <c r="B385" t="s">
        <v>3712</v>
      </c>
      <c r="C385">
        <v>153</v>
      </c>
      <c r="D385">
        <v>18</v>
      </c>
      <c r="E385" t="s">
        <v>3713</v>
      </c>
      <c r="F385" t="s">
        <v>3714</v>
      </c>
      <c r="G385" t="s">
        <v>3715</v>
      </c>
      <c r="H385" t="s">
        <v>3716</v>
      </c>
      <c r="I385" t="s">
        <v>3717</v>
      </c>
      <c r="J385" t="s">
        <v>3718</v>
      </c>
      <c r="K385" t="s">
        <v>174</v>
      </c>
      <c r="L385" t="s">
        <v>3719</v>
      </c>
      <c r="M385">
        <v>208</v>
      </c>
      <c r="N385">
        <v>2</v>
      </c>
      <c r="O385">
        <v>0.05</v>
      </c>
      <c r="P385" t="s">
        <v>3720</v>
      </c>
      <c r="Q385" t="s">
        <v>3721</v>
      </c>
      <c r="R385" t="s">
        <v>3722</v>
      </c>
      <c r="S385">
        <v>127</v>
      </c>
      <c r="T385" t="s">
        <v>1470</v>
      </c>
      <c r="U385" t="s">
        <v>32</v>
      </c>
      <c r="V385" t="s">
        <v>32</v>
      </c>
      <c r="W385" t="s">
        <v>32</v>
      </c>
    </row>
    <row r="386" spans="1:23" x14ac:dyDescent="0.2">
      <c r="A386" t="s">
        <v>3723</v>
      </c>
      <c r="B386" t="s">
        <v>3723</v>
      </c>
      <c r="C386">
        <v>38</v>
      </c>
      <c r="D386">
        <v>38</v>
      </c>
      <c r="E386" t="s">
        <v>3724</v>
      </c>
      <c r="F386" t="s">
        <v>3725</v>
      </c>
      <c r="G386" t="s">
        <v>3724</v>
      </c>
      <c r="H386" t="s">
        <v>3725</v>
      </c>
      <c r="I386" t="s">
        <v>3726</v>
      </c>
      <c r="J386" t="s">
        <v>3727</v>
      </c>
      <c r="K386" t="s">
        <v>3728</v>
      </c>
      <c r="L386" t="s">
        <v>3728</v>
      </c>
      <c r="M386">
        <v>0</v>
      </c>
      <c r="N386">
        <v>0</v>
      </c>
      <c r="O386">
        <v>0</v>
      </c>
      <c r="P386" t="s">
        <v>2913</v>
      </c>
      <c r="Q386" t="s">
        <v>30</v>
      </c>
      <c r="R386" t="s">
        <v>30</v>
      </c>
      <c r="S386">
        <v>91</v>
      </c>
      <c r="T386" t="s">
        <v>154</v>
      </c>
      <c r="U386" t="s">
        <v>84</v>
      </c>
      <c r="V386" t="s">
        <v>32</v>
      </c>
      <c r="W386" t="s">
        <v>32</v>
      </c>
    </row>
    <row r="387" spans="1:23" x14ac:dyDescent="0.2">
      <c r="A387" t="s">
        <v>3729</v>
      </c>
      <c r="B387" t="s">
        <v>3729</v>
      </c>
      <c r="C387">
        <v>188</v>
      </c>
      <c r="D387">
        <v>44</v>
      </c>
      <c r="E387" t="s">
        <v>3730</v>
      </c>
      <c r="F387" t="s">
        <v>3731</v>
      </c>
      <c r="G387" t="s">
        <v>3732</v>
      </c>
      <c r="H387" t="s">
        <v>3733</v>
      </c>
      <c r="I387" t="s">
        <v>3734</v>
      </c>
      <c r="J387" t="s">
        <v>3735</v>
      </c>
      <c r="K387" t="s">
        <v>3736</v>
      </c>
      <c r="L387" t="s">
        <v>3737</v>
      </c>
      <c r="M387">
        <v>789</v>
      </c>
      <c r="N387">
        <v>7</v>
      </c>
      <c r="O387">
        <v>0.23</v>
      </c>
      <c r="P387" t="s">
        <v>3738</v>
      </c>
      <c r="Q387" t="s">
        <v>1466</v>
      </c>
      <c r="R387" t="s">
        <v>3739</v>
      </c>
      <c r="S387">
        <v>1018</v>
      </c>
      <c r="T387" t="s">
        <v>3739</v>
      </c>
      <c r="U387" t="s">
        <v>32</v>
      </c>
      <c r="V387" t="s">
        <v>32</v>
      </c>
      <c r="W387" t="s">
        <v>32</v>
      </c>
    </row>
    <row r="388" spans="1:23" x14ac:dyDescent="0.2">
      <c r="A388" t="s">
        <v>3740</v>
      </c>
      <c r="B388" t="s">
        <v>3740</v>
      </c>
      <c r="C388">
        <v>913</v>
      </c>
      <c r="D388">
        <v>64</v>
      </c>
      <c r="E388" t="s">
        <v>3741</v>
      </c>
      <c r="F388" t="s">
        <v>3742</v>
      </c>
      <c r="G388" t="s">
        <v>3743</v>
      </c>
      <c r="H388" t="s">
        <v>3744</v>
      </c>
      <c r="I388" t="s">
        <v>32</v>
      </c>
      <c r="J388" t="s">
        <v>480</v>
      </c>
      <c r="K388" t="s">
        <v>537</v>
      </c>
      <c r="L388" t="s">
        <v>3745</v>
      </c>
      <c r="M388">
        <v>0</v>
      </c>
      <c r="N388">
        <v>0</v>
      </c>
      <c r="O388">
        <v>0</v>
      </c>
      <c r="P388" t="s">
        <v>3746</v>
      </c>
      <c r="Q388" t="s">
        <v>30</v>
      </c>
      <c r="R388" t="s">
        <v>30</v>
      </c>
      <c r="S388">
        <v>0</v>
      </c>
      <c r="T388" t="s">
        <v>30</v>
      </c>
      <c r="U388" t="s">
        <v>32</v>
      </c>
      <c r="V388" t="s">
        <v>32</v>
      </c>
      <c r="W388" t="s">
        <v>32</v>
      </c>
    </row>
    <row r="389" spans="1:23" x14ac:dyDescent="0.2">
      <c r="A389" t="s">
        <v>3747</v>
      </c>
      <c r="B389" t="s">
        <v>3748</v>
      </c>
      <c r="C389">
        <v>1867</v>
      </c>
      <c r="D389">
        <v>51</v>
      </c>
      <c r="E389" t="s">
        <v>3749</v>
      </c>
      <c r="F389" t="s">
        <v>3750</v>
      </c>
      <c r="G389" t="s">
        <v>3751</v>
      </c>
      <c r="H389" t="s">
        <v>3752</v>
      </c>
      <c r="I389" t="s">
        <v>32</v>
      </c>
      <c r="J389" t="s">
        <v>32</v>
      </c>
      <c r="K389" t="s">
        <v>30</v>
      </c>
      <c r="L389" t="s">
        <v>30</v>
      </c>
      <c r="M389">
        <v>0</v>
      </c>
      <c r="N389">
        <v>0</v>
      </c>
      <c r="O389">
        <v>0</v>
      </c>
      <c r="P389" t="s">
        <v>3753</v>
      </c>
      <c r="Q389" t="s">
        <v>30</v>
      </c>
      <c r="R389" t="s">
        <v>30</v>
      </c>
      <c r="S389">
        <v>0</v>
      </c>
      <c r="T389" t="s">
        <v>30</v>
      </c>
      <c r="U389" t="s">
        <v>32</v>
      </c>
      <c r="V389" t="s">
        <v>32</v>
      </c>
      <c r="W389" t="s">
        <v>32</v>
      </c>
    </row>
    <row r="390" spans="1:23" x14ac:dyDescent="0.2">
      <c r="A390" t="s">
        <v>3754</v>
      </c>
      <c r="B390" t="s">
        <v>3754</v>
      </c>
      <c r="C390">
        <v>194</v>
      </c>
      <c r="D390">
        <v>45</v>
      </c>
      <c r="E390" t="s">
        <v>3755</v>
      </c>
      <c r="F390" t="s">
        <v>3756</v>
      </c>
      <c r="G390" t="s">
        <v>3757</v>
      </c>
      <c r="H390" t="s">
        <v>3758</v>
      </c>
      <c r="I390" t="s">
        <v>1670</v>
      </c>
      <c r="J390" t="s">
        <v>3759</v>
      </c>
      <c r="K390" t="s">
        <v>3760</v>
      </c>
      <c r="L390" t="s">
        <v>3761</v>
      </c>
      <c r="M390">
        <v>532</v>
      </c>
      <c r="N390">
        <v>74</v>
      </c>
      <c r="O390">
        <v>3.87</v>
      </c>
      <c r="P390" t="s">
        <v>3762</v>
      </c>
      <c r="Q390" t="s">
        <v>3763</v>
      </c>
      <c r="R390" t="s">
        <v>3764</v>
      </c>
      <c r="S390">
        <v>205</v>
      </c>
      <c r="T390" t="s">
        <v>3765</v>
      </c>
      <c r="U390" t="s">
        <v>32</v>
      </c>
      <c r="V390" t="s">
        <v>32</v>
      </c>
      <c r="W390" t="s">
        <v>32</v>
      </c>
    </row>
    <row r="391" spans="1:23" x14ac:dyDescent="0.2">
      <c r="A391" t="s">
        <v>3766</v>
      </c>
      <c r="B391" t="s">
        <v>3766</v>
      </c>
      <c r="C391">
        <v>23</v>
      </c>
      <c r="D391">
        <v>23</v>
      </c>
      <c r="E391" t="s">
        <v>3767</v>
      </c>
      <c r="F391" t="s">
        <v>3768</v>
      </c>
      <c r="G391" t="s">
        <v>3767</v>
      </c>
      <c r="H391" t="s">
        <v>3768</v>
      </c>
      <c r="I391" t="s">
        <v>3769</v>
      </c>
      <c r="J391" t="s">
        <v>3770</v>
      </c>
      <c r="K391" t="s">
        <v>3771</v>
      </c>
      <c r="L391" t="s">
        <v>3771</v>
      </c>
      <c r="M391">
        <v>0</v>
      </c>
      <c r="N391">
        <v>0</v>
      </c>
      <c r="O391">
        <v>0</v>
      </c>
      <c r="P391" t="s">
        <v>3772</v>
      </c>
      <c r="Q391" t="s">
        <v>30</v>
      </c>
      <c r="R391" t="s">
        <v>30</v>
      </c>
      <c r="S391">
        <v>99</v>
      </c>
      <c r="T391" t="s">
        <v>154</v>
      </c>
      <c r="U391" t="s">
        <v>32</v>
      </c>
      <c r="V391" t="s">
        <v>32</v>
      </c>
      <c r="W391" t="s">
        <v>32</v>
      </c>
    </row>
    <row r="392" spans="1:23" x14ac:dyDescent="0.2">
      <c r="A392" t="s">
        <v>3773</v>
      </c>
      <c r="B392" t="s">
        <v>3773</v>
      </c>
      <c r="C392">
        <v>186</v>
      </c>
      <c r="D392">
        <v>44</v>
      </c>
      <c r="E392" t="s">
        <v>3774</v>
      </c>
      <c r="F392" t="s">
        <v>3775</v>
      </c>
      <c r="G392" t="s">
        <v>3776</v>
      </c>
      <c r="H392" t="s">
        <v>2281</v>
      </c>
      <c r="I392" t="s">
        <v>742</v>
      </c>
      <c r="J392" t="s">
        <v>3777</v>
      </c>
      <c r="K392" t="s">
        <v>3778</v>
      </c>
      <c r="L392" t="s">
        <v>2080</v>
      </c>
      <c r="M392">
        <v>73</v>
      </c>
      <c r="N392">
        <v>1</v>
      </c>
      <c r="O392">
        <v>2.82</v>
      </c>
      <c r="P392" t="s">
        <v>698</v>
      </c>
      <c r="Q392" t="s">
        <v>3779</v>
      </c>
      <c r="R392" t="s">
        <v>3780</v>
      </c>
      <c r="S392">
        <v>774</v>
      </c>
      <c r="T392" t="s">
        <v>3781</v>
      </c>
      <c r="U392" t="s">
        <v>32</v>
      </c>
      <c r="V392" t="s">
        <v>32</v>
      </c>
      <c r="W392" t="s">
        <v>32</v>
      </c>
    </row>
    <row r="393" spans="1:23" x14ac:dyDescent="0.2">
      <c r="A393" t="s">
        <v>3782</v>
      </c>
      <c r="B393" t="s">
        <v>3782</v>
      </c>
      <c r="C393">
        <v>33</v>
      </c>
      <c r="D393">
        <v>33</v>
      </c>
      <c r="E393" t="s">
        <v>3783</v>
      </c>
      <c r="F393" t="s">
        <v>3784</v>
      </c>
      <c r="G393" t="s">
        <v>3783</v>
      </c>
      <c r="H393" t="s">
        <v>3784</v>
      </c>
      <c r="I393" t="s">
        <v>3785</v>
      </c>
      <c r="J393" t="s">
        <v>3786</v>
      </c>
      <c r="K393" t="s">
        <v>3787</v>
      </c>
      <c r="L393" t="s">
        <v>3787</v>
      </c>
      <c r="M393">
        <v>0</v>
      </c>
      <c r="N393">
        <v>0</v>
      </c>
      <c r="O393">
        <v>0</v>
      </c>
      <c r="P393" t="s">
        <v>1926</v>
      </c>
      <c r="Q393" t="s">
        <v>30</v>
      </c>
      <c r="R393" t="s">
        <v>30</v>
      </c>
      <c r="S393">
        <v>214</v>
      </c>
      <c r="T393" t="s">
        <v>154</v>
      </c>
      <c r="U393" t="s">
        <v>32</v>
      </c>
      <c r="V393" t="s">
        <v>32</v>
      </c>
      <c r="W393" t="s">
        <v>32</v>
      </c>
    </row>
    <row r="394" spans="1:23" x14ac:dyDescent="0.2">
      <c r="A394" t="s">
        <v>3788</v>
      </c>
      <c r="B394" t="s">
        <v>3789</v>
      </c>
      <c r="C394">
        <v>150</v>
      </c>
      <c r="D394">
        <v>82</v>
      </c>
      <c r="E394" t="s">
        <v>3790</v>
      </c>
      <c r="F394" t="s">
        <v>3791</v>
      </c>
      <c r="G394" t="s">
        <v>3792</v>
      </c>
      <c r="H394" t="s">
        <v>3793</v>
      </c>
      <c r="I394" t="s">
        <v>1324</v>
      </c>
      <c r="J394" t="s">
        <v>3794</v>
      </c>
      <c r="K394" t="s">
        <v>3795</v>
      </c>
      <c r="L394" t="s">
        <v>3796</v>
      </c>
      <c r="M394">
        <v>878</v>
      </c>
      <c r="N394">
        <v>11</v>
      </c>
      <c r="O394">
        <v>1.23</v>
      </c>
      <c r="P394" t="s">
        <v>2944</v>
      </c>
      <c r="Q394" t="s">
        <v>3797</v>
      </c>
      <c r="R394" t="s">
        <v>2886</v>
      </c>
      <c r="S394">
        <v>414</v>
      </c>
      <c r="T394" t="s">
        <v>3798</v>
      </c>
      <c r="U394" t="s">
        <v>32</v>
      </c>
      <c r="V394" t="s">
        <v>32</v>
      </c>
      <c r="W394" t="s">
        <v>32</v>
      </c>
    </row>
    <row r="395" spans="1:23" x14ac:dyDescent="0.2">
      <c r="A395" t="s">
        <v>3799</v>
      </c>
      <c r="B395" t="s">
        <v>3799</v>
      </c>
      <c r="C395">
        <v>51</v>
      </c>
      <c r="D395">
        <v>51</v>
      </c>
      <c r="E395" t="s">
        <v>3800</v>
      </c>
      <c r="F395" t="s">
        <v>3801</v>
      </c>
      <c r="G395" t="s">
        <v>3800</v>
      </c>
      <c r="H395" t="s">
        <v>3801</v>
      </c>
      <c r="I395" t="s">
        <v>3802</v>
      </c>
      <c r="J395" t="s">
        <v>3803</v>
      </c>
      <c r="K395" t="s">
        <v>3804</v>
      </c>
      <c r="L395" t="s">
        <v>3804</v>
      </c>
      <c r="M395">
        <v>645</v>
      </c>
      <c r="N395">
        <v>16</v>
      </c>
      <c r="O395">
        <v>3</v>
      </c>
      <c r="P395" t="s">
        <v>3805</v>
      </c>
      <c r="Q395" t="s">
        <v>3806</v>
      </c>
      <c r="R395" t="s">
        <v>3807</v>
      </c>
      <c r="S395">
        <v>102</v>
      </c>
      <c r="T395" t="s">
        <v>31</v>
      </c>
      <c r="U395" t="s">
        <v>3808</v>
      </c>
      <c r="V395" t="s">
        <v>32</v>
      </c>
      <c r="W395" t="s">
        <v>32</v>
      </c>
    </row>
    <row r="396" spans="1:23" x14ac:dyDescent="0.2">
      <c r="A396" t="s">
        <v>3809</v>
      </c>
      <c r="B396" t="s">
        <v>3809</v>
      </c>
      <c r="C396">
        <v>215</v>
      </c>
      <c r="D396">
        <v>28</v>
      </c>
      <c r="E396" t="s">
        <v>3810</v>
      </c>
      <c r="F396" t="s">
        <v>3811</v>
      </c>
      <c r="G396" t="s">
        <v>3812</v>
      </c>
      <c r="H396" t="s">
        <v>3813</v>
      </c>
      <c r="I396" t="s">
        <v>32</v>
      </c>
      <c r="J396" t="s">
        <v>3814</v>
      </c>
      <c r="K396" t="s">
        <v>644</v>
      </c>
      <c r="L396" t="s">
        <v>3815</v>
      </c>
      <c r="M396">
        <v>0</v>
      </c>
      <c r="N396">
        <v>0</v>
      </c>
      <c r="O396">
        <v>0</v>
      </c>
      <c r="P396" t="s">
        <v>3577</v>
      </c>
      <c r="Q396" t="s">
        <v>30</v>
      </c>
      <c r="R396" t="s">
        <v>30</v>
      </c>
      <c r="S396">
        <v>115</v>
      </c>
      <c r="T396" t="s">
        <v>3816</v>
      </c>
      <c r="U396" t="s">
        <v>32</v>
      </c>
      <c r="V396" t="s">
        <v>32</v>
      </c>
      <c r="W396" t="s">
        <v>32</v>
      </c>
    </row>
    <row r="397" spans="1:23" x14ac:dyDescent="0.2">
      <c r="A397" t="s">
        <v>3817</v>
      </c>
      <c r="B397" t="s">
        <v>3817</v>
      </c>
      <c r="C397">
        <v>235</v>
      </c>
      <c r="D397">
        <v>46</v>
      </c>
      <c r="E397" t="s">
        <v>3818</v>
      </c>
      <c r="F397" t="s">
        <v>3819</v>
      </c>
      <c r="G397" t="s">
        <v>3820</v>
      </c>
      <c r="H397" t="s">
        <v>3821</v>
      </c>
      <c r="I397" t="s">
        <v>787</v>
      </c>
      <c r="J397" t="s">
        <v>3822</v>
      </c>
      <c r="K397" t="s">
        <v>3823</v>
      </c>
      <c r="L397" t="s">
        <v>3824</v>
      </c>
      <c r="M397">
        <v>553</v>
      </c>
      <c r="N397">
        <v>16</v>
      </c>
      <c r="O397">
        <v>2.72</v>
      </c>
      <c r="P397" t="s">
        <v>3825</v>
      </c>
      <c r="Q397" t="s">
        <v>3826</v>
      </c>
      <c r="R397" t="s">
        <v>3827</v>
      </c>
      <c r="S397">
        <v>467</v>
      </c>
      <c r="T397" t="s">
        <v>3828</v>
      </c>
      <c r="U397" t="s">
        <v>84</v>
      </c>
      <c r="V397" t="s">
        <v>32</v>
      </c>
      <c r="W397" t="s">
        <v>32</v>
      </c>
    </row>
    <row r="398" spans="1:23" x14ac:dyDescent="0.2">
      <c r="A398" t="s">
        <v>3829</v>
      </c>
      <c r="B398" t="s">
        <v>3829</v>
      </c>
      <c r="C398">
        <v>1023</v>
      </c>
      <c r="D398">
        <v>64</v>
      </c>
      <c r="E398" t="s">
        <v>3830</v>
      </c>
      <c r="F398" t="s">
        <v>3831</v>
      </c>
      <c r="G398" t="s">
        <v>3832</v>
      </c>
      <c r="H398" t="s">
        <v>3833</v>
      </c>
      <c r="I398" t="s">
        <v>32</v>
      </c>
      <c r="J398" t="s">
        <v>3834</v>
      </c>
      <c r="K398" t="s">
        <v>30</v>
      </c>
      <c r="L398" t="s">
        <v>537</v>
      </c>
      <c r="M398">
        <v>0</v>
      </c>
      <c r="N398">
        <v>0</v>
      </c>
      <c r="O398">
        <v>0</v>
      </c>
      <c r="P398" t="s">
        <v>3835</v>
      </c>
      <c r="Q398" t="s">
        <v>30</v>
      </c>
      <c r="R398" t="s">
        <v>30</v>
      </c>
      <c r="S398">
        <v>0</v>
      </c>
      <c r="T398" t="s">
        <v>30</v>
      </c>
      <c r="U398" t="s">
        <v>32</v>
      </c>
      <c r="V398" t="s">
        <v>32</v>
      </c>
      <c r="W398" t="s">
        <v>32</v>
      </c>
    </row>
    <row r="399" spans="1:23" x14ac:dyDescent="0.2">
      <c r="A399" t="s">
        <v>3836</v>
      </c>
      <c r="B399" t="s">
        <v>3837</v>
      </c>
      <c r="C399">
        <v>2239</v>
      </c>
      <c r="D399">
        <v>65</v>
      </c>
      <c r="E399" t="s">
        <v>3838</v>
      </c>
      <c r="F399" t="s">
        <v>3839</v>
      </c>
      <c r="G399" t="s">
        <v>3840</v>
      </c>
      <c r="H399" t="s">
        <v>170</v>
      </c>
      <c r="I399" t="s">
        <v>32</v>
      </c>
      <c r="J399" t="s">
        <v>3841</v>
      </c>
      <c r="K399" t="s">
        <v>200</v>
      </c>
      <c r="L399" t="s">
        <v>1424</v>
      </c>
      <c r="M399">
        <v>0</v>
      </c>
      <c r="N399">
        <v>0</v>
      </c>
      <c r="O399">
        <v>0</v>
      </c>
      <c r="P399" t="s">
        <v>3842</v>
      </c>
      <c r="Q399" t="s">
        <v>30</v>
      </c>
      <c r="R399" t="s">
        <v>30</v>
      </c>
      <c r="S399">
        <v>0</v>
      </c>
      <c r="T399" t="s">
        <v>30</v>
      </c>
      <c r="U399" t="s">
        <v>32</v>
      </c>
      <c r="V399" t="s">
        <v>32</v>
      </c>
      <c r="W399" t="s">
        <v>32</v>
      </c>
    </row>
    <row r="400" spans="1:23" x14ac:dyDescent="0.2">
      <c r="A400" t="s">
        <v>3843</v>
      </c>
      <c r="B400" t="s">
        <v>3843</v>
      </c>
      <c r="C400">
        <v>2238</v>
      </c>
      <c r="D400">
        <v>65</v>
      </c>
      <c r="E400" t="s">
        <v>3844</v>
      </c>
      <c r="F400" t="s">
        <v>3845</v>
      </c>
      <c r="G400" t="s">
        <v>3846</v>
      </c>
      <c r="H400" t="s">
        <v>3847</v>
      </c>
      <c r="I400" t="s">
        <v>32</v>
      </c>
      <c r="J400" t="s">
        <v>3848</v>
      </c>
      <c r="K400" t="s">
        <v>1800</v>
      </c>
      <c r="L400" t="s">
        <v>3849</v>
      </c>
      <c r="M400">
        <v>0</v>
      </c>
      <c r="N400">
        <v>0</v>
      </c>
      <c r="O400">
        <v>0</v>
      </c>
      <c r="P400" t="s">
        <v>3562</v>
      </c>
      <c r="Q400" t="s">
        <v>30</v>
      </c>
      <c r="R400" t="s">
        <v>30</v>
      </c>
      <c r="S400">
        <v>0</v>
      </c>
      <c r="T400" t="s">
        <v>30</v>
      </c>
      <c r="U400" t="s">
        <v>32</v>
      </c>
      <c r="V400" t="s">
        <v>32</v>
      </c>
      <c r="W400" t="s">
        <v>32</v>
      </c>
    </row>
    <row r="401" spans="1:23" x14ac:dyDescent="0.2">
      <c r="A401" t="s">
        <v>3850</v>
      </c>
      <c r="B401" t="s">
        <v>3851</v>
      </c>
      <c r="C401">
        <v>158</v>
      </c>
      <c r="D401">
        <v>43</v>
      </c>
      <c r="E401" t="s">
        <v>3852</v>
      </c>
      <c r="F401" t="s">
        <v>3853</v>
      </c>
      <c r="G401" t="s">
        <v>3854</v>
      </c>
      <c r="H401" t="s">
        <v>3855</v>
      </c>
      <c r="I401" t="s">
        <v>3856</v>
      </c>
      <c r="J401" t="s">
        <v>3857</v>
      </c>
      <c r="K401" t="s">
        <v>3858</v>
      </c>
      <c r="L401" t="s">
        <v>3859</v>
      </c>
      <c r="M401">
        <v>451</v>
      </c>
      <c r="N401">
        <v>12</v>
      </c>
      <c r="O401">
        <v>0.85</v>
      </c>
      <c r="P401" t="s">
        <v>3860</v>
      </c>
      <c r="Q401" t="s">
        <v>1009</v>
      </c>
      <c r="R401" t="s">
        <v>3861</v>
      </c>
      <c r="S401">
        <v>448</v>
      </c>
      <c r="T401" t="s">
        <v>3861</v>
      </c>
      <c r="U401" t="s">
        <v>32</v>
      </c>
      <c r="V401" t="s">
        <v>32</v>
      </c>
      <c r="W401" t="s">
        <v>32</v>
      </c>
    </row>
    <row r="402" spans="1:23" x14ac:dyDescent="0.2">
      <c r="A402" t="s">
        <v>3862</v>
      </c>
      <c r="B402" t="s">
        <v>3862</v>
      </c>
      <c r="C402">
        <v>2239</v>
      </c>
      <c r="D402">
        <v>64</v>
      </c>
      <c r="E402" t="s">
        <v>3863</v>
      </c>
      <c r="F402" t="s">
        <v>3864</v>
      </c>
      <c r="G402" t="s">
        <v>3865</v>
      </c>
      <c r="H402" t="s">
        <v>3866</v>
      </c>
      <c r="I402" t="s">
        <v>32</v>
      </c>
      <c r="J402" t="s">
        <v>3867</v>
      </c>
      <c r="K402" t="s">
        <v>327</v>
      </c>
      <c r="L402" t="s">
        <v>2221</v>
      </c>
      <c r="M402">
        <v>0</v>
      </c>
      <c r="N402">
        <v>0</v>
      </c>
      <c r="O402">
        <v>0</v>
      </c>
      <c r="P402" t="s">
        <v>3868</v>
      </c>
      <c r="Q402" t="s">
        <v>30</v>
      </c>
      <c r="R402" t="s">
        <v>30</v>
      </c>
      <c r="S402">
        <v>0</v>
      </c>
      <c r="T402" t="s">
        <v>30</v>
      </c>
      <c r="U402" t="s">
        <v>32</v>
      </c>
      <c r="V402" t="s">
        <v>32</v>
      </c>
      <c r="W402" t="s">
        <v>32</v>
      </c>
    </row>
    <row r="403" spans="1:23" x14ac:dyDescent="0.2">
      <c r="A403" t="s">
        <v>3869</v>
      </c>
      <c r="B403" t="s">
        <v>3870</v>
      </c>
      <c r="C403">
        <v>152</v>
      </c>
      <c r="D403">
        <v>80</v>
      </c>
      <c r="E403" t="s">
        <v>3871</v>
      </c>
      <c r="F403" t="s">
        <v>3872</v>
      </c>
      <c r="G403" t="s">
        <v>3873</v>
      </c>
      <c r="H403" t="s">
        <v>3874</v>
      </c>
      <c r="I403" t="s">
        <v>650</v>
      </c>
      <c r="J403" t="s">
        <v>3875</v>
      </c>
      <c r="K403" t="s">
        <v>3876</v>
      </c>
      <c r="L403" t="s">
        <v>3877</v>
      </c>
      <c r="M403">
        <v>981</v>
      </c>
      <c r="N403">
        <v>9</v>
      </c>
      <c r="O403">
        <v>0.7</v>
      </c>
      <c r="P403" t="s">
        <v>3878</v>
      </c>
      <c r="Q403" t="s">
        <v>3879</v>
      </c>
      <c r="R403" t="s">
        <v>3880</v>
      </c>
      <c r="S403">
        <v>589</v>
      </c>
      <c r="T403" t="s">
        <v>3881</v>
      </c>
      <c r="U403" t="s">
        <v>32</v>
      </c>
      <c r="V403" t="s">
        <v>32</v>
      </c>
      <c r="W403" t="s">
        <v>32</v>
      </c>
    </row>
    <row r="404" spans="1:23" x14ac:dyDescent="0.2">
      <c r="A404" t="s">
        <v>3882</v>
      </c>
      <c r="B404" t="s">
        <v>3883</v>
      </c>
      <c r="C404">
        <v>57</v>
      </c>
      <c r="D404">
        <v>57</v>
      </c>
      <c r="E404" t="s">
        <v>3884</v>
      </c>
      <c r="F404" t="s">
        <v>3885</v>
      </c>
      <c r="G404" t="s">
        <v>3884</v>
      </c>
      <c r="H404" t="s">
        <v>3885</v>
      </c>
      <c r="I404" t="s">
        <v>3886</v>
      </c>
      <c r="J404" t="s">
        <v>3887</v>
      </c>
      <c r="K404" t="s">
        <v>3888</v>
      </c>
      <c r="L404" t="s">
        <v>3888</v>
      </c>
      <c r="M404">
        <v>422</v>
      </c>
      <c r="N404">
        <v>16</v>
      </c>
      <c r="O404">
        <v>1.97</v>
      </c>
      <c r="P404" t="s">
        <v>3889</v>
      </c>
      <c r="Q404" t="s">
        <v>2622</v>
      </c>
      <c r="R404" t="s">
        <v>3890</v>
      </c>
      <c r="S404">
        <v>231</v>
      </c>
      <c r="T404" t="s">
        <v>154</v>
      </c>
      <c r="U404" t="s">
        <v>32</v>
      </c>
      <c r="V404" t="s">
        <v>32</v>
      </c>
      <c r="W404" t="s">
        <v>32</v>
      </c>
    </row>
  </sheetData>
  <pageMargins left="0.7" right="0.7" top="0.75" bottom="0.75" header="0.3" footer="0.3"/>
  <ignoredErrors>
    <ignoredError sqref="A1:W72 A74:W404 C73:F73 K73:W73 H73:I7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Pluto3883</cp:lastModifiedBy>
  <dcterms:modified xsi:type="dcterms:W3CDTF">2026-10-03T06:09:37Z</dcterms:modified>
</cp:coreProperties>
</file>